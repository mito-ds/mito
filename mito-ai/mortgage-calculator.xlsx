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diamond-reivich/e2p/excel-to-python-monorepo/e2p/excel-files/realistic/"/>
    </mc:Choice>
  </mc:AlternateContent>
  <xr:revisionPtr revIDLastSave="0" documentId="13_ncr:1_{E008B535-BBC9-D547-B9E5-1E4E53618B7E}" xr6:coauthVersionLast="47" xr6:coauthVersionMax="47" xr10:uidLastSave="{00000000-0000-0000-0000-000000000000}"/>
  <bookViews>
    <workbookView xWindow="120" yWindow="760" windowWidth="34440" windowHeight="20920" xr2:uid="{5E2CDE9B-D16E-D444-95E0-F67AE8239BB8}"/>
  </bookViews>
  <sheets>
    <sheet name="mortgage" sheetId="1" r:id="rId1"/>
  </sheets>
  <calcPr calcId="191029" iterate="1" iterateCount="100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O369" i="1"/>
  <c r="O370" i="1"/>
  <c r="O371" i="1"/>
  <c r="O379" i="1"/>
  <c r="O380" i="1"/>
  <c r="O381" i="1"/>
  <c r="O389" i="1"/>
  <c r="O390" i="1"/>
  <c r="O391" i="1"/>
  <c r="O399" i="1"/>
  <c r="O400" i="1"/>
  <c r="O401" i="1"/>
  <c r="O362" i="1"/>
  <c r="O363" i="1"/>
  <c r="O364" i="1"/>
  <c r="O365" i="1"/>
  <c r="O366" i="1"/>
  <c r="O367" i="1"/>
  <c r="O368" i="1"/>
  <c r="O372" i="1"/>
  <c r="O373" i="1"/>
  <c r="O374" i="1"/>
  <c r="O375" i="1"/>
  <c r="O376" i="1"/>
  <c r="O377" i="1"/>
  <c r="O378" i="1"/>
  <c r="O382" i="1"/>
  <c r="O383" i="1"/>
  <c r="O384" i="1"/>
  <c r="O385" i="1"/>
  <c r="O386" i="1"/>
  <c r="O387" i="1"/>
  <c r="O388" i="1"/>
  <c r="O392" i="1"/>
  <c r="O393" i="1"/>
  <c r="O394" i="1"/>
  <c r="O395" i="1"/>
  <c r="O396" i="1"/>
  <c r="O397" i="1"/>
  <c r="O398" i="1"/>
  <c r="D13" i="1"/>
  <c r="D12" i="1"/>
  <c r="L379" i="1"/>
  <c r="I186" i="1"/>
  <c r="K186" i="1"/>
  <c r="L377" i="1"/>
  <c r="I102" i="1"/>
  <c r="K102" i="1"/>
  <c r="I293" i="1"/>
  <c r="K293" i="1"/>
  <c r="N365" i="1"/>
  <c r="N375" i="1"/>
  <c r="I157" i="1"/>
  <c r="K157" i="1"/>
  <c r="I189" i="1"/>
  <c r="K189" i="1"/>
  <c r="I279" i="1"/>
  <c r="K279" i="1"/>
  <c r="I289" i="1"/>
  <c r="K289" i="1"/>
  <c r="I271" i="1"/>
  <c r="K271" i="1"/>
  <c r="I288" i="1"/>
  <c r="K288" i="1"/>
  <c r="I190" i="1"/>
  <c r="K190" i="1"/>
  <c r="I91" i="1"/>
  <c r="K91" i="1"/>
  <c r="I372" i="1"/>
  <c r="I386" i="1"/>
  <c r="I398" i="1"/>
  <c r="I142" i="1"/>
  <c r="K142" i="1"/>
  <c r="I292" i="1"/>
  <c r="K292" i="1"/>
  <c r="L376" i="1"/>
  <c r="I148" i="1"/>
  <c r="K148" i="1"/>
  <c r="I281" i="1"/>
  <c r="K281" i="1"/>
  <c r="I280" i="1"/>
  <c r="K280" i="1"/>
  <c r="I282" i="1"/>
  <c r="K282" i="1"/>
  <c r="I284" i="1"/>
  <c r="K284" i="1"/>
  <c r="I250" i="1"/>
  <c r="K250" i="1"/>
  <c r="I300" i="1"/>
  <c r="K300" i="1"/>
  <c r="L367" i="1"/>
  <c r="L369" i="1"/>
  <c r="I268" i="1"/>
  <c r="K268" i="1"/>
  <c r="I62" i="1"/>
  <c r="K62" i="1"/>
  <c r="I12" i="1"/>
  <c r="K12" i="1"/>
  <c r="I41" i="1"/>
  <c r="K41" i="1"/>
  <c r="I121" i="1"/>
  <c r="K121" i="1"/>
  <c r="I81" i="1"/>
  <c r="K81" i="1"/>
  <c r="I262" i="1"/>
  <c r="K262" i="1"/>
  <c r="I231" i="1"/>
  <c r="K231" i="1"/>
  <c r="M365" i="1"/>
  <c r="I295" i="1"/>
  <c r="K295" i="1"/>
  <c r="I230" i="1"/>
  <c r="K230" i="1"/>
  <c r="I399" i="1"/>
  <c r="I396" i="1"/>
  <c r="I395" i="1"/>
  <c r="I393" i="1"/>
  <c r="I385" i="1"/>
  <c r="I384" i="1"/>
  <c r="I383" i="1"/>
  <c r="I382" i="1"/>
  <c r="L375" i="1"/>
  <c r="L365" i="1"/>
  <c r="I352" i="1"/>
  <c r="K352" i="1"/>
  <c r="I342" i="1"/>
  <c r="K342" i="1"/>
  <c r="I221" i="1"/>
  <c r="K221" i="1"/>
  <c r="I208" i="1"/>
  <c r="K208" i="1"/>
  <c r="M368" i="1"/>
  <c r="I260" i="1"/>
  <c r="K260" i="1"/>
  <c r="I196" i="1"/>
  <c r="K196" i="1"/>
  <c r="L378" i="1"/>
  <c r="I375" i="1"/>
  <c r="I365" i="1"/>
  <c r="I355" i="1"/>
  <c r="K355" i="1"/>
  <c r="I335" i="1"/>
  <c r="K335" i="1"/>
  <c r="I241" i="1"/>
  <c r="K241" i="1"/>
  <c r="I366" i="1"/>
  <c r="H365" i="1"/>
  <c r="I326" i="1"/>
  <c r="K326" i="1"/>
  <c r="I316" i="1"/>
  <c r="K316" i="1"/>
  <c r="I286" i="1"/>
  <c r="K286" i="1"/>
  <c r="H375" i="1"/>
  <c r="M370" i="1"/>
  <c r="I336" i="1"/>
  <c r="K336" i="1"/>
  <c r="I377" i="1"/>
  <c r="L370" i="1"/>
  <c r="I297" i="1"/>
  <c r="K297" i="1"/>
  <c r="I214" i="1"/>
  <c r="K214" i="1"/>
  <c r="I195" i="1"/>
  <c r="K195" i="1"/>
  <c r="I191" i="1"/>
  <c r="K191" i="1"/>
  <c r="I183" i="1"/>
  <c r="K183" i="1"/>
  <c r="I172" i="1"/>
  <c r="K172" i="1"/>
  <c r="I212" i="1"/>
  <c r="K212" i="1"/>
  <c r="I197" i="1"/>
  <c r="K197" i="1"/>
  <c r="I162" i="1"/>
  <c r="K162" i="1"/>
  <c r="I252" i="1"/>
  <c r="K252" i="1"/>
  <c r="I242" i="1"/>
  <c r="K242" i="1"/>
  <c r="I232" i="1"/>
  <c r="K232" i="1"/>
  <c r="I156" i="1"/>
  <c r="K156" i="1"/>
  <c r="I169" i="1"/>
  <c r="K169" i="1"/>
  <c r="I159" i="1"/>
  <c r="K159" i="1"/>
  <c r="I146" i="1"/>
  <c r="K146" i="1"/>
  <c r="I136" i="1"/>
  <c r="K136" i="1"/>
  <c r="I179" i="1"/>
  <c r="K179" i="1"/>
  <c r="I171" i="1"/>
  <c r="K171" i="1"/>
  <c r="I166" i="1"/>
  <c r="K166" i="1"/>
  <c r="I161" i="1"/>
  <c r="K161" i="1"/>
  <c r="I177" i="1"/>
  <c r="K177" i="1"/>
  <c r="I175" i="1"/>
  <c r="K175" i="1"/>
  <c r="I173" i="1"/>
  <c r="K173" i="1"/>
  <c r="I187" i="1"/>
  <c r="K187" i="1"/>
  <c r="I182" i="1"/>
  <c r="K182" i="1"/>
  <c r="I168" i="1"/>
  <c r="K168" i="1"/>
  <c r="I163" i="1"/>
  <c r="K163" i="1"/>
  <c r="I185" i="1"/>
  <c r="K185" i="1"/>
  <c r="I180" i="1"/>
  <c r="K180" i="1"/>
  <c r="I170" i="1"/>
  <c r="K170" i="1"/>
  <c r="I165" i="1"/>
  <c r="K165" i="1"/>
  <c r="I152" i="1"/>
  <c r="K152" i="1"/>
  <c r="I132" i="1"/>
  <c r="K132" i="1"/>
  <c r="I144" i="1"/>
  <c r="K144" i="1"/>
  <c r="I347" i="1"/>
  <c r="K347" i="1"/>
  <c r="I307" i="1"/>
  <c r="K307" i="1"/>
  <c r="I388" i="1"/>
  <c r="I305" i="1"/>
  <c r="K305" i="1"/>
  <c r="I112" i="1"/>
  <c r="K112" i="1"/>
  <c r="M376" i="1"/>
  <c r="I137" i="1"/>
  <c r="K137" i="1"/>
  <c r="I178" i="1"/>
  <c r="K178" i="1"/>
  <c r="I367" i="1"/>
  <c r="M377" i="1"/>
  <c r="I72" i="1"/>
  <c r="K72" i="1"/>
  <c r="I174" i="1"/>
  <c r="K174" i="1"/>
  <c r="I315" i="1"/>
  <c r="K315" i="1"/>
  <c r="I134" i="1"/>
  <c r="K134" i="1"/>
  <c r="I160" i="1"/>
  <c r="K160" i="1"/>
  <c r="I337" i="1"/>
  <c r="K337" i="1"/>
  <c r="M378" i="1"/>
  <c r="I332" i="1"/>
  <c r="K332" i="1"/>
  <c r="M375" i="1"/>
  <c r="I203" i="1"/>
  <c r="K203" i="1"/>
  <c r="I376" i="1"/>
  <c r="H376" i="1"/>
  <c r="I387" i="1"/>
  <c r="I251" i="1"/>
  <c r="K251" i="1"/>
  <c r="I270" i="1"/>
  <c r="K270" i="1"/>
  <c r="H396" i="1"/>
  <c r="I390" i="1"/>
  <c r="I122" i="1"/>
  <c r="K122" i="1"/>
  <c r="I31" i="1"/>
  <c r="K31" i="1"/>
  <c r="I176" i="1"/>
  <c r="K176" i="1"/>
  <c r="I138" i="1"/>
  <c r="K138" i="1"/>
  <c r="I220" i="1"/>
  <c r="K220" i="1"/>
  <c r="I201" i="1"/>
  <c r="K201" i="1"/>
  <c r="I11" i="1"/>
  <c r="K11" i="1"/>
  <c r="I312" i="1"/>
  <c r="K312" i="1"/>
  <c r="I392" i="1"/>
  <c r="I389" i="1"/>
  <c r="L380" i="1"/>
  <c r="I192" i="1"/>
  <c r="K192" i="1"/>
  <c r="M371" i="1"/>
  <c r="I222" i="1"/>
  <c r="K222" i="1"/>
  <c r="I154" i="1"/>
  <c r="K154" i="1"/>
  <c r="I227" i="1"/>
  <c r="K227" i="1"/>
  <c r="I127" i="1"/>
  <c r="K127" i="1"/>
  <c r="I325" i="1"/>
  <c r="K325" i="1"/>
  <c r="I394" i="1"/>
  <c r="M381" i="1"/>
  <c r="I400" i="1"/>
  <c r="I261" i="1"/>
  <c r="K261" i="1"/>
  <c r="I291" i="1"/>
  <c r="K291" i="1"/>
  <c r="I356" i="1"/>
  <c r="K356" i="1"/>
  <c r="L368" i="1"/>
  <c r="I299" i="1"/>
  <c r="K299" i="1"/>
  <c r="I269" i="1"/>
  <c r="K269" i="1"/>
  <c r="I357" i="1"/>
  <c r="K357" i="1"/>
  <c r="M367" i="1"/>
  <c r="I317" i="1"/>
  <c r="K317" i="1"/>
  <c r="I92" i="1"/>
  <c r="K92" i="1"/>
  <c r="I290" i="1"/>
  <c r="K290" i="1"/>
  <c r="I294" i="1"/>
  <c r="K294" i="1"/>
  <c r="I129" i="1"/>
  <c r="K129" i="1"/>
  <c r="I247" i="1"/>
  <c r="K247" i="1"/>
  <c r="I184" i="1"/>
  <c r="K184" i="1"/>
  <c r="I164" i="1"/>
  <c r="K164" i="1"/>
  <c r="I167" i="1"/>
  <c r="K167" i="1"/>
  <c r="I204" i="1"/>
  <c r="K204" i="1"/>
  <c r="I327" i="1"/>
  <c r="K327" i="1"/>
  <c r="H366" i="1"/>
  <c r="I22" i="1"/>
  <c r="K22" i="1"/>
  <c r="I101" i="1"/>
  <c r="K101" i="1"/>
  <c r="I278" i="1"/>
  <c r="K278" i="1"/>
  <c r="I141" i="1"/>
  <c r="K141" i="1"/>
  <c r="I237" i="1"/>
  <c r="K237" i="1"/>
  <c r="I50" i="1"/>
  <c r="K50" i="1"/>
  <c r="I46" i="1"/>
  <c r="K46" i="1"/>
  <c r="I36" i="1"/>
  <c r="K36" i="1"/>
  <c r="I34" i="1"/>
  <c r="K34" i="1"/>
  <c r="I30" i="1"/>
  <c r="K30" i="1"/>
  <c r="I361" i="1"/>
  <c r="K361" i="1"/>
  <c r="I210" i="1"/>
  <c r="K210" i="1"/>
  <c r="I308" i="1"/>
  <c r="K308" i="1"/>
  <c r="L384" i="1"/>
  <c r="N384" i="1"/>
  <c r="H384" i="1"/>
  <c r="M384" i="1"/>
  <c r="I4" i="1"/>
  <c r="K4" i="1"/>
  <c r="I219" i="1"/>
  <c r="K219" i="1"/>
  <c r="I119" i="1"/>
  <c r="K119" i="1"/>
  <c r="I19" i="1"/>
  <c r="K19" i="1"/>
  <c r="I37" i="1"/>
  <c r="K37" i="1"/>
  <c r="I235" i="1"/>
  <c r="K235" i="1"/>
  <c r="I135" i="1"/>
  <c r="K135" i="1"/>
  <c r="I35" i="1"/>
  <c r="K35" i="1"/>
  <c r="I333" i="1"/>
  <c r="K333" i="1"/>
  <c r="I233" i="1"/>
  <c r="K233" i="1"/>
  <c r="I133" i="1"/>
  <c r="K133" i="1"/>
  <c r="I33" i="1"/>
  <c r="K33" i="1"/>
  <c r="I243" i="1"/>
  <c r="K243" i="1"/>
  <c r="I328" i="1"/>
  <c r="K328" i="1"/>
  <c r="I345" i="1"/>
  <c r="K345" i="1"/>
  <c r="I240" i="1"/>
  <c r="K240" i="1"/>
  <c r="I42" i="1"/>
  <c r="K42" i="1"/>
  <c r="M401" i="1"/>
  <c r="L401" i="1"/>
  <c r="N401" i="1"/>
  <c r="H401" i="1"/>
  <c r="M394" i="1"/>
  <c r="L394" i="1"/>
  <c r="N394" i="1"/>
  <c r="H394" i="1"/>
  <c r="L392" i="1"/>
  <c r="M392" i="1"/>
  <c r="N392" i="1"/>
  <c r="H392" i="1"/>
  <c r="L391" i="1"/>
  <c r="M391" i="1"/>
  <c r="N391" i="1"/>
  <c r="H391" i="1"/>
  <c r="L389" i="1"/>
  <c r="N389" i="1"/>
  <c r="H389" i="1"/>
  <c r="M389" i="1"/>
  <c r="N381" i="1"/>
  <c r="I381" i="1"/>
  <c r="L381" i="1"/>
  <c r="H380" i="1"/>
  <c r="N380" i="1"/>
  <c r="I380" i="1"/>
  <c r="I20" i="1"/>
  <c r="K20" i="1"/>
  <c r="I314" i="1"/>
  <c r="K314" i="1"/>
  <c r="H400" i="1"/>
  <c r="N400" i="1"/>
  <c r="L400" i="1"/>
  <c r="M400" i="1"/>
  <c r="I94" i="1"/>
  <c r="K94" i="1"/>
  <c r="I349" i="1"/>
  <c r="K349" i="1"/>
  <c r="I26" i="1"/>
  <c r="K26" i="1"/>
  <c r="I124" i="1"/>
  <c r="K124" i="1"/>
  <c r="H371" i="1"/>
  <c r="N371" i="1"/>
  <c r="I371" i="1"/>
  <c r="L371" i="1"/>
  <c r="I56" i="1"/>
  <c r="K56" i="1"/>
  <c r="I320" i="1"/>
  <c r="K320" i="1"/>
  <c r="I309" i="1"/>
  <c r="K309" i="1"/>
  <c r="I209" i="1"/>
  <c r="K209" i="1"/>
  <c r="I109" i="1"/>
  <c r="K109" i="1"/>
  <c r="I9" i="1"/>
  <c r="K9" i="1"/>
  <c r="I27" i="1"/>
  <c r="K27" i="1"/>
  <c r="I225" i="1"/>
  <c r="K225" i="1"/>
  <c r="I125" i="1"/>
  <c r="K125" i="1"/>
  <c r="I25" i="1"/>
  <c r="K25" i="1"/>
  <c r="I323" i="1"/>
  <c r="K323" i="1"/>
  <c r="I223" i="1"/>
  <c r="K223" i="1"/>
  <c r="I123" i="1"/>
  <c r="K123" i="1"/>
  <c r="I23" i="1"/>
  <c r="K23" i="1"/>
  <c r="I245" i="1"/>
  <c r="K245" i="1"/>
  <c r="I181" i="1"/>
  <c r="K181" i="1"/>
  <c r="M380" i="1"/>
  <c r="I397" i="1"/>
  <c r="I111" i="1"/>
  <c r="K111" i="1"/>
  <c r="I369" i="1"/>
  <c r="M369" i="1"/>
  <c r="H369" i="1"/>
  <c r="N369" i="1"/>
  <c r="I368" i="1"/>
  <c r="N368" i="1"/>
  <c r="H368" i="1"/>
  <c r="N367" i="1"/>
  <c r="H367" i="1"/>
  <c r="L364" i="1"/>
  <c r="N364" i="1"/>
  <c r="I364" i="1"/>
  <c r="M364" i="1"/>
  <c r="H364" i="1"/>
  <c r="I354" i="1"/>
  <c r="K354" i="1"/>
  <c r="I351" i="1"/>
  <c r="K351" i="1"/>
  <c r="I18" i="1"/>
  <c r="K18" i="1"/>
  <c r="I298" i="1"/>
  <c r="K298" i="1"/>
  <c r="I131" i="1"/>
  <c r="K131" i="1"/>
  <c r="N388" i="1"/>
  <c r="H388" i="1"/>
  <c r="L388" i="1"/>
  <c r="M388" i="1"/>
  <c r="I244" i="1"/>
  <c r="K244" i="1"/>
  <c r="I78" i="1"/>
  <c r="K78" i="1"/>
  <c r="I10" i="1"/>
  <c r="K10" i="1"/>
  <c r="I274" i="1"/>
  <c r="K274" i="1"/>
  <c r="I108" i="1"/>
  <c r="K108" i="1"/>
  <c r="I359" i="1"/>
  <c r="K359" i="1"/>
  <c r="I206" i="1"/>
  <c r="K206" i="1"/>
  <c r="I40" i="1"/>
  <c r="K40" i="1"/>
  <c r="I304" i="1"/>
  <c r="K304" i="1"/>
  <c r="I199" i="1"/>
  <c r="K199" i="1"/>
  <c r="I99" i="1"/>
  <c r="K99" i="1"/>
  <c r="I217" i="1"/>
  <c r="K217" i="1"/>
  <c r="I117" i="1"/>
  <c r="K117" i="1"/>
  <c r="I17" i="1"/>
  <c r="K17" i="1"/>
  <c r="I215" i="1"/>
  <c r="K215" i="1"/>
  <c r="I115" i="1"/>
  <c r="K115" i="1"/>
  <c r="I15" i="1"/>
  <c r="K15" i="1"/>
  <c r="I313" i="1"/>
  <c r="K313" i="1"/>
  <c r="I213" i="1"/>
  <c r="K213" i="1"/>
  <c r="I113" i="1"/>
  <c r="K113" i="1"/>
  <c r="I13" i="1"/>
  <c r="K13" i="1"/>
  <c r="I100" i="1"/>
  <c r="K100" i="1"/>
  <c r="I84" i="1"/>
  <c r="K84" i="1"/>
  <c r="I226" i="1"/>
  <c r="K226" i="1"/>
  <c r="I90" i="1"/>
  <c r="K90" i="1"/>
  <c r="I145" i="1"/>
  <c r="K145" i="1"/>
  <c r="I51" i="1"/>
  <c r="K51" i="1"/>
  <c r="I52" i="1"/>
  <c r="K52" i="1"/>
  <c r="I341" i="1"/>
  <c r="K341" i="1"/>
  <c r="I339" i="1"/>
  <c r="K339" i="1"/>
  <c r="I331" i="1"/>
  <c r="K331" i="1"/>
  <c r="I330" i="1"/>
  <c r="K330" i="1"/>
  <c r="I329" i="1"/>
  <c r="K329" i="1"/>
  <c r="I319" i="1"/>
  <c r="K319" i="1"/>
  <c r="I318" i="1"/>
  <c r="K318" i="1"/>
  <c r="I16" i="1"/>
  <c r="K16" i="1"/>
  <c r="I114" i="1"/>
  <c r="K114" i="1"/>
  <c r="N376" i="1"/>
  <c r="I228" i="1"/>
  <c r="K228" i="1"/>
  <c r="I324" i="1"/>
  <c r="K324" i="1"/>
  <c r="M398" i="1"/>
  <c r="N398" i="1"/>
  <c r="H398" i="1"/>
  <c r="L398" i="1"/>
  <c r="I258" i="1"/>
  <c r="K258" i="1"/>
  <c r="I89" i="1"/>
  <c r="K89" i="1"/>
  <c r="I207" i="1"/>
  <c r="K207" i="1"/>
  <c r="I107" i="1"/>
  <c r="K107" i="1"/>
  <c r="I7" i="1"/>
  <c r="K7" i="1"/>
  <c r="I205" i="1"/>
  <c r="K205" i="1"/>
  <c r="I105" i="1"/>
  <c r="K105" i="1"/>
  <c r="I5" i="1"/>
  <c r="K5" i="1"/>
  <c r="I303" i="1"/>
  <c r="K303" i="1"/>
  <c r="I103" i="1"/>
  <c r="K103" i="1"/>
  <c r="I3" i="1"/>
  <c r="K3" i="1"/>
  <c r="I150" i="1"/>
  <c r="K150" i="1"/>
  <c r="I343" i="1"/>
  <c r="K343" i="1"/>
  <c r="I128" i="1"/>
  <c r="K128" i="1"/>
  <c r="I66" i="1"/>
  <c r="K66" i="1"/>
  <c r="I302" i="1"/>
  <c r="K302" i="1"/>
  <c r="I301" i="1"/>
  <c r="K301" i="1"/>
  <c r="I296" i="1"/>
  <c r="K296" i="1"/>
  <c r="I2" i="1"/>
  <c r="K2" i="1"/>
  <c r="M2" i="1"/>
  <c r="O2" i="1"/>
  <c r="I264" i="1"/>
  <c r="K264" i="1"/>
  <c r="I98" i="1"/>
  <c r="K98" i="1"/>
  <c r="H362" i="1"/>
  <c r="L362" i="1"/>
  <c r="N362" i="1"/>
  <c r="M362" i="1"/>
  <c r="I211" i="1"/>
  <c r="K211" i="1"/>
  <c r="I44" i="1"/>
  <c r="K44" i="1"/>
  <c r="I310" i="1"/>
  <c r="K310" i="1"/>
  <c r="L386" i="1"/>
  <c r="N386" i="1"/>
  <c r="M386" i="1"/>
  <c r="H386" i="1"/>
  <c r="I74" i="1"/>
  <c r="K74" i="1"/>
  <c r="I334" i="1"/>
  <c r="K334" i="1"/>
  <c r="I6" i="1"/>
  <c r="K6" i="1"/>
  <c r="I104" i="1"/>
  <c r="K104" i="1"/>
  <c r="I79" i="1"/>
  <c r="K79" i="1"/>
  <c r="I97" i="1"/>
  <c r="K97" i="1"/>
  <c r="H395" i="1"/>
  <c r="N395" i="1"/>
  <c r="L395" i="1"/>
  <c r="M395" i="1"/>
  <c r="I95" i="1"/>
  <c r="K95" i="1"/>
  <c r="H393" i="1"/>
  <c r="N393" i="1"/>
  <c r="L393" i="1"/>
  <c r="M393" i="1"/>
  <c r="I193" i="1"/>
  <c r="K193" i="1"/>
  <c r="I93" i="1"/>
  <c r="K93" i="1"/>
  <c r="I344" i="1"/>
  <c r="K344" i="1"/>
  <c r="I340" i="1"/>
  <c r="K340" i="1"/>
  <c r="I143" i="1"/>
  <c r="K143" i="1"/>
  <c r="I188" i="1"/>
  <c r="K188" i="1"/>
  <c r="I82" i="1"/>
  <c r="K82" i="1"/>
  <c r="I266" i="1"/>
  <c r="K266" i="1"/>
  <c r="I246" i="1"/>
  <c r="K246" i="1"/>
  <c r="I236" i="1"/>
  <c r="K236" i="1"/>
  <c r="I234" i="1"/>
  <c r="K234" i="1"/>
  <c r="N390" i="1"/>
  <c r="L390" i="1"/>
  <c r="M390" i="1"/>
  <c r="H390" i="1"/>
  <c r="I248" i="1"/>
  <c r="K248" i="1"/>
  <c r="I350" i="1"/>
  <c r="K350" i="1"/>
  <c r="I194" i="1"/>
  <c r="K194" i="1"/>
  <c r="I28" i="1"/>
  <c r="K28" i="1"/>
  <c r="I126" i="1"/>
  <c r="K126" i="1"/>
  <c r="M372" i="1"/>
  <c r="L372" i="1"/>
  <c r="N372" i="1"/>
  <c r="H372" i="1"/>
  <c r="I224" i="1"/>
  <c r="K224" i="1"/>
  <c r="I58" i="1"/>
  <c r="K58" i="1"/>
  <c r="I321" i="1"/>
  <c r="K321" i="1"/>
  <c r="M396" i="1"/>
  <c r="L396" i="1"/>
  <c r="N396" i="1"/>
  <c r="I254" i="1"/>
  <c r="K254" i="1"/>
  <c r="I88" i="1"/>
  <c r="K88" i="1"/>
  <c r="I69" i="1"/>
  <c r="K69" i="1"/>
  <c r="I287" i="1"/>
  <c r="K287" i="1"/>
  <c r="I87" i="1"/>
  <c r="K87" i="1"/>
  <c r="N385" i="1"/>
  <c r="L385" i="1"/>
  <c r="M385" i="1"/>
  <c r="H385" i="1"/>
  <c r="I285" i="1"/>
  <c r="K285" i="1"/>
  <c r="I85" i="1"/>
  <c r="K85" i="1"/>
  <c r="N383" i="1"/>
  <c r="L383" i="1"/>
  <c r="H383" i="1"/>
  <c r="M383" i="1"/>
  <c r="I283" i="1"/>
  <c r="K283" i="1"/>
  <c r="I83" i="1"/>
  <c r="K83" i="1"/>
  <c r="I96" i="1"/>
  <c r="K96" i="1"/>
  <c r="I70" i="1"/>
  <c r="K70" i="1"/>
  <c r="I45" i="1"/>
  <c r="K45" i="1"/>
  <c r="I362" i="1"/>
  <c r="H381" i="1"/>
  <c r="I391" i="1"/>
  <c r="I401" i="1"/>
  <c r="I61" i="1"/>
  <c r="K61" i="1"/>
  <c r="I21" i="1"/>
  <c r="K21" i="1"/>
  <c r="I218" i="1"/>
  <c r="K218" i="1"/>
  <c r="I216" i="1"/>
  <c r="K216" i="1"/>
  <c r="I202" i="1"/>
  <c r="K202" i="1"/>
  <c r="I200" i="1"/>
  <c r="K200" i="1"/>
  <c r="N378" i="1"/>
  <c r="H378" i="1"/>
  <c r="I378" i="1"/>
  <c r="I64" i="1"/>
  <c r="K64" i="1"/>
  <c r="I338" i="1"/>
  <c r="K338" i="1"/>
  <c r="I276" i="1"/>
  <c r="K276" i="1"/>
  <c r="I110" i="1"/>
  <c r="K110" i="1"/>
  <c r="I360" i="1"/>
  <c r="K360" i="1"/>
  <c r="I306" i="1"/>
  <c r="K306" i="1"/>
  <c r="I140" i="1"/>
  <c r="K140" i="1"/>
  <c r="H382" i="1"/>
  <c r="L382" i="1"/>
  <c r="M382" i="1"/>
  <c r="N382" i="1"/>
  <c r="I238" i="1"/>
  <c r="K238" i="1"/>
  <c r="I71" i="1"/>
  <c r="K71" i="1"/>
  <c r="I259" i="1"/>
  <c r="K259" i="1"/>
  <c r="I59" i="1"/>
  <c r="K59" i="1"/>
  <c r="I277" i="1"/>
  <c r="K277" i="1"/>
  <c r="I77" i="1"/>
  <c r="K77" i="1"/>
  <c r="I275" i="1"/>
  <c r="K275" i="1"/>
  <c r="I75" i="1"/>
  <c r="K75" i="1"/>
  <c r="N373" i="1"/>
  <c r="H373" i="1"/>
  <c r="L373" i="1"/>
  <c r="M373" i="1"/>
  <c r="I373" i="1"/>
  <c r="I273" i="1"/>
  <c r="K273" i="1"/>
  <c r="I73" i="1"/>
  <c r="K73" i="1"/>
  <c r="N377" i="1"/>
  <c r="H377" i="1"/>
  <c r="I86" i="1"/>
  <c r="K86" i="1"/>
  <c r="I80" i="1"/>
  <c r="K80" i="1"/>
  <c r="I68" i="1"/>
  <c r="K68" i="1"/>
  <c r="I14" i="1"/>
  <c r="K14" i="1"/>
  <c r="N374" i="1"/>
  <c r="H374" i="1"/>
  <c r="L374" i="1"/>
  <c r="I374" i="1"/>
  <c r="M374" i="1"/>
  <c r="I60" i="1"/>
  <c r="K60" i="1"/>
  <c r="H397" i="1"/>
  <c r="N397" i="1"/>
  <c r="L397" i="1"/>
  <c r="M397" i="1"/>
  <c r="I256" i="1"/>
  <c r="K256" i="1"/>
  <c r="I229" i="1"/>
  <c r="K229" i="1"/>
  <c r="I29" i="1"/>
  <c r="K29" i="1"/>
  <c r="I47" i="1"/>
  <c r="K47" i="1"/>
  <c r="I43" i="1"/>
  <c r="K43" i="1"/>
  <c r="I158" i="1"/>
  <c r="K158" i="1"/>
  <c r="I147" i="1"/>
  <c r="K147" i="1"/>
  <c r="I32" i="1"/>
  <c r="K32" i="1"/>
  <c r="I151" i="1"/>
  <c r="K151" i="1"/>
  <c r="N366" i="1"/>
  <c r="I48" i="1"/>
  <c r="K48" i="1"/>
  <c r="L399" i="1"/>
  <c r="M399" i="1"/>
  <c r="N399" i="1"/>
  <c r="H399" i="1"/>
  <c r="I348" i="1"/>
  <c r="K348" i="1"/>
  <c r="I24" i="1"/>
  <c r="K24" i="1"/>
  <c r="H370" i="1"/>
  <c r="I370" i="1"/>
  <c r="N370" i="1"/>
  <c r="I54" i="1"/>
  <c r="K54" i="1"/>
  <c r="I249" i="1"/>
  <c r="K249" i="1"/>
  <c r="I149" i="1"/>
  <c r="K149" i="1"/>
  <c r="I49" i="1"/>
  <c r="K49" i="1"/>
  <c r="I267" i="1"/>
  <c r="K267" i="1"/>
  <c r="I67" i="1"/>
  <c r="K67" i="1"/>
  <c r="I265" i="1"/>
  <c r="K265" i="1"/>
  <c r="I65" i="1"/>
  <c r="K65" i="1"/>
  <c r="M363" i="1"/>
  <c r="H363" i="1"/>
  <c r="I363" i="1"/>
  <c r="L363" i="1"/>
  <c r="N363" i="1"/>
  <c r="I263" i="1"/>
  <c r="K263" i="1"/>
  <c r="I63" i="1"/>
  <c r="K63" i="1"/>
  <c r="H379" i="1"/>
  <c r="I379" i="1"/>
  <c r="N379" i="1"/>
  <c r="M379" i="1"/>
  <c r="I346" i="1"/>
  <c r="K346" i="1"/>
  <c r="L366" i="1"/>
  <c r="I322" i="1"/>
  <c r="K322" i="1"/>
  <c r="M366" i="1"/>
  <c r="I130" i="1"/>
  <c r="K130" i="1"/>
  <c r="I120" i="1"/>
  <c r="K120" i="1"/>
  <c r="I118" i="1"/>
  <c r="K118" i="1"/>
  <c r="I116" i="1"/>
  <c r="K116" i="1"/>
  <c r="I198" i="1"/>
  <c r="K198" i="1"/>
  <c r="I311" i="1"/>
  <c r="K311" i="1"/>
  <c r="N387" i="1"/>
  <c r="M387" i="1"/>
  <c r="L387" i="1"/>
  <c r="H387" i="1"/>
  <c r="I76" i="1"/>
  <c r="K76" i="1"/>
  <c r="I8" i="1"/>
  <c r="K8" i="1"/>
  <c r="I272" i="1"/>
  <c r="K272" i="1"/>
  <c r="I106" i="1"/>
  <c r="K106" i="1"/>
  <c r="I358" i="1"/>
  <c r="K358" i="1"/>
  <c r="I38" i="1"/>
  <c r="K38" i="1"/>
  <c r="I239" i="1"/>
  <c r="K239" i="1"/>
  <c r="I139" i="1"/>
  <c r="K139" i="1"/>
  <c r="I39" i="1"/>
  <c r="K39" i="1"/>
  <c r="I257" i="1"/>
  <c r="K257" i="1"/>
  <c r="I57" i="1"/>
  <c r="K57" i="1"/>
  <c r="I255" i="1"/>
  <c r="K255" i="1"/>
  <c r="I155" i="1"/>
  <c r="K155" i="1"/>
  <c r="I55" i="1"/>
  <c r="K55" i="1"/>
  <c r="I353" i="1"/>
  <c r="K353" i="1"/>
  <c r="I253" i="1"/>
  <c r="K253" i="1"/>
  <c r="I153" i="1"/>
  <c r="K153" i="1"/>
  <c r="I53" i="1"/>
  <c r="K53" i="1"/>
  <c r="L2" i="1"/>
  <c r="N2" i="1"/>
  <c r="H3" i="1"/>
  <c r="M3" i="1"/>
  <c r="O3" i="1"/>
  <c r="L3" i="1"/>
  <c r="N3" i="1"/>
  <c r="H4" i="1"/>
  <c r="M4" i="1"/>
  <c r="L4" i="1"/>
  <c r="N4" i="1"/>
  <c r="H5" i="1"/>
  <c r="M5" i="1"/>
  <c r="L5" i="1"/>
  <c r="N5" i="1"/>
  <c r="H6" i="1"/>
  <c r="M6" i="1"/>
  <c r="L6" i="1"/>
  <c r="N6" i="1"/>
  <c r="H7" i="1"/>
  <c r="O4" i="1"/>
  <c r="O5" i="1"/>
  <c r="O6" i="1"/>
  <c r="M7" i="1"/>
  <c r="L7" i="1"/>
  <c r="N7" i="1"/>
  <c r="O7" i="1"/>
  <c r="H8" i="1"/>
  <c r="M8" i="1"/>
  <c r="L8" i="1"/>
  <c r="N8" i="1"/>
  <c r="O8" i="1"/>
  <c r="H9" i="1"/>
  <c r="M9" i="1"/>
  <c r="L9" i="1"/>
  <c r="O9" i="1"/>
  <c r="N9" i="1"/>
  <c r="H10" i="1"/>
  <c r="M10" i="1"/>
  <c r="L10" i="1"/>
  <c r="O10" i="1"/>
  <c r="N10" i="1"/>
  <c r="H11" i="1"/>
  <c r="M11" i="1"/>
  <c r="L11" i="1"/>
  <c r="N11" i="1"/>
  <c r="H12" i="1"/>
  <c r="O11" i="1"/>
  <c r="M12" i="1"/>
  <c r="L12" i="1"/>
  <c r="N12" i="1"/>
  <c r="H13" i="1"/>
  <c r="O12" i="1"/>
  <c r="M13" i="1"/>
  <c r="L13" i="1"/>
  <c r="N13" i="1"/>
  <c r="H14" i="1"/>
  <c r="O13" i="1"/>
  <c r="M14" i="1"/>
  <c r="L14" i="1"/>
  <c r="N14" i="1"/>
  <c r="H15" i="1"/>
  <c r="O14" i="1"/>
  <c r="M15" i="1"/>
  <c r="L15" i="1"/>
  <c r="N15" i="1"/>
  <c r="H16" i="1"/>
  <c r="O15" i="1"/>
  <c r="M16" i="1"/>
  <c r="L16" i="1"/>
  <c r="N16" i="1"/>
  <c r="H17" i="1"/>
  <c r="O16" i="1"/>
  <c r="M17" i="1"/>
  <c r="L17" i="1"/>
  <c r="N17" i="1"/>
  <c r="H18" i="1"/>
  <c r="O17" i="1"/>
  <c r="M18" i="1"/>
  <c r="L18" i="1"/>
  <c r="N18" i="1"/>
  <c r="H19" i="1"/>
  <c r="O18" i="1"/>
  <c r="M19" i="1"/>
  <c r="L19" i="1"/>
  <c r="N19" i="1"/>
  <c r="H20" i="1"/>
  <c r="O19" i="1"/>
  <c r="M20" i="1"/>
  <c r="L20" i="1"/>
  <c r="N20" i="1"/>
  <c r="H21" i="1"/>
  <c r="O20" i="1"/>
  <c r="M21" i="1"/>
  <c r="L21" i="1"/>
  <c r="N21" i="1"/>
  <c r="H22" i="1"/>
  <c r="O21" i="1"/>
  <c r="M22" i="1"/>
  <c r="L22" i="1"/>
  <c r="N22" i="1"/>
  <c r="H23" i="1"/>
  <c r="O22" i="1"/>
  <c r="M23" i="1"/>
  <c r="L23" i="1"/>
  <c r="N23" i="1"/>
  <c r="H24" i="1"/>
  <c r="O23" i="1"/>
  <c r="M24" i="1"/>
  <c r="L24" i="1"/>
  <c r="N24" i="1"/>
  <c r="H25" i="1"/>
  <c r="O24" i="1"/>
  <c r="M25" i="1"/>
  <c r="L25" i="1"/>
  <c r="N25" i="1"/>
  <c r="H26" i="1"/>
  <c r="O25" i="1"/>
  <c r="M26" i="1"/>
  <c r="L26" i="1"/>
  <c r="N26" i="1"/>
  <c r="H27" i="1"/>
  <c r="O26" i="1"/>
  <c r="M27" i="1"/>
  <c r="L27" i="1"/>
  <c r="N27" i="1"/>
  <c r="H28" i="1"/>
  <c r="O27" i="1"/>
  <c r="M28" i="1"/>
  <c r="L28" i="1"/>
  <c r="N28" i="1"/>
  <c r="H29" i="1"/>
  <c r="O28" i="1"/>
  <c r="M29" i="1"/>
  <c r="L29" i="1"/>
  <c r="N29" i="1"/>
  <c r="H30" i="1"/>
  <c r="O29" i="1"/>
  <c r="M30" i="1"/>
  <c r="L30" i="1"/>
  <c r="N30" i="1"/>
  <c r="H31" i="1"/>
  <c r="O30" i="1"/>
  <c r="M31" i="1"/>
  <c r="L31" i="1"/>
  <c r="N31" i="1"/>
  <c r="H32" i="1"/>
  <c r="O31" i="1"/>
  <c r="M32" i="1"/>
  <c r="L32" i="1"/>
  <c r="N32" i="1"/>
  <c r="H33" i="1"/>
  <c r="O32" i="1"/>
  <c r="M33" i="1"/>
  <c r="L33" i="1"/>
  <c r="N33" i="1"/>
  <c r="H34" i="1"/>
  <c r="O33" i="1"/>
  <c r="M34" i="1"/>
  <c r="L34" i="1"/>
  <c r="N34" i="1"/>
  <c r="H35" i="1"/>
  <c r="O34" i="1"/>
  <c r="M35" i="1"/>
  <c r="L35" i="1"/>
  <c r="N35" i="1"/>
  <c r="H36" i="1"/>
  <c r="O35" i="1"/>
  <c r="M36" i="1"/>
  <c r="L36" i="1"/>
  <c r="N36" i="1"/>
  <c r="H37" i="1"/>
  <c r="O36" i="1"/>
  <c r="M37" i="1"/>
  <c r="L37" i="1"/>
  <c r="N37" i="1"/>
  <c r="H38" i="1"/>
  <c r="O37" i="1"/>
  <c r="M38" i="1"/>
  <c r="L38" i="1"/>
  <c r="N38" i="1"/>
  <c r="H39" i="1"/>
  <c r="O38" i="1"/>
  <c r="M39" i="1"/>
  <c r="L39" i="1"/>
  <c r="N39" i="1"/>
  <c r="H40" i="1"/>
  <c r="O39" i="1"/>
  <c r="M40" i="1"/>
  <c r="L40" i="1"/>
  <c r="N40" i="1"/>
  <c r="H41" i="1"/>
  <c r="O40" i="1"/>
  <c r="M41" i="1"/>
  <c r="L41" i="1"/>
  <c r="N41" i="1"/>
  <c r="H42" i="1"/>
  <c r="O41" i="1"/>
  <c r="M42" i="1"/>
  <c r="L42" i="1"/>
  <c r="N42" i="1"/>
  <c r="H43" i="1"/>
  <c r="O42" i="1"/>
  <c r="M43" i="1"/>
  <c r="L43" i="1"/>
  <c r="N43" i="1"/>
  <c r="H44" i="1"/>
  <c r="O43" i="1"/>
  <c r="M44" i="1"/>
  <c r="L44" i="1"/>
  <c r="N44" i="1"/>
  <c r="H45" i="1"/>
  <c r="O44" i="1"/>
  <c r="M45" i="1"/>
  <c r="L45" i="1"/>
  <c r="N45" i="1"/>
  <c r="H46" i="1"/>
  <c r="O45" i="1"/>
  <c r="M46" i="1"/>
  <c r="L46" i="1"/>
  <c r="N46" i="1"/>
  <c r="H47" i="1"/>
  <c r="O46" i="1"/>
  <c r="M47" i="1"/>
  <c r="L47" i="1"/>
  <c r="N47" i="1"/>
  <c r="H48" i="1"/>
  <c r="O47" i="1"/>
  <c r="M48" i="1"/>
  <c r="L48" i="1"/>
  <c r="N48" i="1"/>
  <c r="H49" i="1"/>
  <c r="O48" i="1"/>
  <c r="M49" i="1"/>
  <c r="L49" i="1"/>
  <c r="N49" i="1"/>
  <c r="H50" i="1"/>
  <c r="O49" i="1"/>
  <c r="M50" i="1"/>
  <c r="L50" i="1"/>
  <c r="N50" i="1"/>
  <c r="H51" i="1"/>
  <c r="O50" i="1"/>
  <c r="M51" i="1"/>
  <c r="L51" i="1"/>
  <c r="N51" i="1"/>
  <c r="H52" i="1"/>
  <c r="O51" i="1"/>
  <c r="M52" i="1"/>
  <c r="L52" i="1"/>
  <c r="N52" i="1"/>
  <c r="H53" i="1"/>
  <c r="O52" i="1"/>
  <c r="M53" i="1"/>
  <c r="L53" i="1"/>
  <c r="N53" i="1"/>
  <c r="H54" i="1"/>
  <c r="O53" i="1"/>
  <c r="M54" i="1"/>
  <c r="L54" i="1"/>
  <c r="N54" i="1"/>
  <c r="H55" i="1"/>
  <c r="O54" i="1"/>
  <c r="M55" i="1"/>
  <c r="L55" i="1"/>
  <c r="N55" i="1"/>
  <c r="H56" i="1"/>
  <c r="O55" i="1"/>
  <c r="M56" i="1"/>
  <c r="L56" i="1"/>
  <c r="N56" i="1"/>
  <c r="H57" i="1"/>
  <c r="O56" i="1"/>
  <c r="M57" i="1"/>
  <c r="L57" i="1"/>
  <c r="N57" i="1"/>
  <c r="H58" i="1"/>
  <c r="O57" i="1"/>
  <c r="M58" i="1"/>
  <c r="L58" i="1"/>
  <c r="N58" i="1"/>
  <c r="H59" i="1"/>
  <c r="O58" i="1"/>
  <c r="M59" i="1"/>
  <c r="L59" i="1"/>
  <c r="N59" i="1"/>
  <c r="H60" i="1"/>
  <c r="O59" i="1"/>
  <c r="M60" i="1"/>
  <c r="L60" i="1"/>
  <c r="N60" i="1"/>
  <c r="H61" i="1"/>
  <c r="O60" i="1"/>
  <c r="M61" i="1"/>
  <c r="L61" i="1"/>
  <c r="N61" i="1"/>
  <c r="H62" i="1"/>
  <c r="O61" i="1"/>
  <c r="M62" i="1"/>
  <c r="L62" i="1"/>
  <c r="N62" i="1"/>
  <c r="H63" i="1"/>
  <c r="O62" i="1"/>
  <c r="M63" i="1"/>
  <c r="L63" i="1"/>
  <c r="N63" i="1"/>
  <c r="H64" i="1"/>
  <c r="O63" i="1"/>
  <c r="M64" i="1"/>
  <c r="L64" i="1"/>
  <c r="N64" i="1"/>
  <c r="H65" i="1"/>
  <c r="O64" i="1"/>
  <c r="M65" i="1"/>
  <c r="L65" i="1"/>
  <c r="N65" i="1"/>
  <c r="H66" i="1"/>
  <c r="O65" i="1"/>
  <c r="M66" i="1"/>
  <c r="L66" i="1"/>
  <c r="N66" i="1"/>
  <c r="H67" i="1"/>
  <c r="O66" i="1"/>
  <c r="M67" i="1"/>
  <c r="L67" i="1"/>
  <c r="N67" i="1"/>
  <c r="H68" i="1"/>
  <c r="O67" i="1"/>
  <c r="M68" i="1"/>
  <c r="L68" i="1"/>
  <c r="N68" i="1"/>
  <c r="H69" i="1"/>
  <c r="O68" i="1"/>
  <c r="M69" i="1"/>
  <c r="L69" i="1"/>
  <c r="N69" i="1"/>
  <c r="H70" i="1"/>
  <c r="O69" i="1"/>
  <c r="M70" i="1"/>
  <c r="L70" i="1"/>
  <c r="N70" i="1"/>
  <c r="H71" i="1"/>
  <c r="O70" i="1"/>
  <c r="M71" i="1"/>
  <c r="L71" i="1"/>
  <c r="N71" i="1"/>
  <c r="H72" i="1"/>
  <c r="O71" i="1"/>
  <c r="M72" i="1"/>
  <c r="L72" i="1"/>
  <c r="N72" i="1"/>
  <c r="H73" i="1"/>
  <c r="O72" i="1"/>
  <c r="M73" i="1"/>
  <c r="L73" i="1"/>
  <c r="N73" i="1"/>
  <c r="H74" i="1"/>
  <c r="O73" i="1"/>
  <c r="M74" i="1"/>
  <c r="L74" i="1"/>
  <c r="N74" i="1"/>
  <c r="H75" i="1"/>
  <c r="O74" i="1"/>
  <c r="M75" i="1"/>
  <c r="L75" i="1"/>
  <c r="N75" i="1"/>
  <c r="H76" i="1"/>
  <c r="O75" i="1"/>
  <c r="M76" i="1"/>
  <c r="L76" i="1"/>
  <c r="N76" i="1"/>
  <c r="H77" i="1"/>
  <c r="O76" i="1"/>
  <c r="M77" i="1"/>
  <c r="L77" i="1"/>
  <c r="N77" i="1"/>
  <c r="H78" i="1"/>
  <c r="O77" i="1"/>
  <c r="M78" i="1"/>
  <c r="L78" i="1"/>
  <c r="N78" i="1"/>
  <c r="H79" i="1"/>
  <c r="O78" i="1"/>
  <c r="M79" i="1"/>
  <c r="L79" i="1"/>
  <c r="N79" i="1"/>
  <c r="H80" i="1"/>
  <c r="O79" i="1"/>
  <c r="M80" i="1"/>
  <c r="L80" i="1"/>
  <c r="N80" i="1"/>
  <c r="H81" i="1"/>
  <c r="O80" i="1"/>
  <c r="M81" i="1"/>
  <c r="L81" i="1"/>
  <c r="N81" i="1"/>
  <c r="H82" i="1"/>
  <c r="O81" i="1"/>
  <c r="M82" i="1"/>
  <c r="L82" i="1"/>
  <c r="N82" i="1"/>
  <c r="H83" i="1"/>
  <c r="O82" i="1"/>
  <c r="M83" i="1"/>
  <c r="L83" i="1"/>
  <c r="N83" i="1"/>
  <c r="H84" i="1"/>
  <c r="O83" i="1"/>
  <c r="M84" i="1"/>
  <c r="L84" i="1"/>
  <c r="N84" i="1"/>
  <c r="H85" i="1"/>
  <c r="O84" i="1"/>
  <c r="M85" i="1"/>
  <c r="L85" i="1"/>
  <c r="N85" i="1"/>
  <c r="H86" i="1"/>
  <c r="O85" i="1"/>
  <c r="M86" i="1"/>
  <c r="L86" i="1"/>
  <c r="N86" i="1"/>
  <c r="H87" i="1"/>
  <c r="O86" i="1"/>
  <c r="M87" i="1"/>
  <c r="L87" i="1"/>
  <c r="N87" i="1"/>
  <c r="H88" i="1"/>
  <c r="O87" i="1"/>
  <c r="M88" i="1"/>
  <c r="L88" i="1"/>
  <c r="N88" i="1"/>
  <c r="H89" i="1"/>
  <c r="O88" i="1"/>
  <c r="M89" i="1"/>
  <c r="L89" i="1"/>
  <c r="N89" i="1"/>
  <c r="H90" i="1"/>
  <c r="O89" i="1"/>
  <c r="M90" i="1"/>
  <c r="L90" i="1"/>
  <c r="N90" i="1"/>
  <c r="H91" i="1"/>
  <c r="O90" i="1"/>
  <c r="M91" i="1"/>
  <c r="L91" i="1"/>
  <c r="N91" i="1"/>
  <c r="H92" i="1"/>
  <c r="O91" i="1"/>
  <c r="M92" i="1"/>
  <c r="L92" i="1"/>
  <c r="N92" i="1"/>
  <c r="H93" i="1"/>
  <c r="O92" i="1"/>
  <c r="M93" i="1"/>
  <c r="L93" i="1"/>
  <c r="N93" i="1"/>
  <c r="H94" i="1"/>
  <c r="O93" i="1"/>
  <c r="M94" i="1"/>
  <c r="L94" i="1"/>
  <c r="N94" i="1"/>
  <c r="H95" i="1"/>
  <c r="O94" i="1"/>
  <c r="M95" i="1"/>
  <c r="L95" i="1"/>
  <c r="N95" i="1"/>
  <c r="H96" i="1"/>
  <c r="O95" i="1"/>
  <c r="M96" i="1"/>
  <c r="L96" i="1"/>
  <c r="N96" i="1"/>
  <c r="H97" i="1"/>
  <c r="O96" i="1"/>
  <c r="M97" i="1"/>
  <c r="L97" i="1"/>
  <c r="N97" i="1"/>
  <c r="H98" i="1"/>
  <c r="O97" i="1"/>
  <c r="M98" i="1"/>
  <c r="L98" i="1"/>
  <c r="N98" i="1"/>
  <c r="H99" i="1"/>
  <c r="O98" i="1"/>
  <c r="M99" i="1"/>
  <c r="L99" i="1"/>
  <c r="N99" i="1"/>
  <c r="H100" i="1"/>
  <c r="O99" i="1"/>
  <c r="M100" i="1"/>
  <c r="L100" i="1"/>
  <c r="N100" i="1"/>
  <c r="H101" i="1"/>
  <c r="O100" i="1"/>
  <c r="M101" i="1"/>
  <c r="L101" i="1"/>
  <c r="N101" i="1"/>
  <c r="H102" i="1"/>
  <c r="O101" i="1"/>
  <c r="M102" i="1"/>
  <c r="L102" i="1"/>
  <c r="N102" i="1"/>
  <c r="H103" i="1"/>
  <c r="O102" i="1"/>
  <c r="M103" i="1"/>
  <c r="L103" i="1"/>
  <c r="N103" i="1"/>
  <c r="H104" i="1"/>
  <c r="O103" i="1"/>
  <c r="M104" i="1"/>
  <c r="L104" i="1"/>
  <c r="N104" i="1"/>
  <c r="H105" i="1"/>
  <c r="O104" i="1"/>
  <c r="M105" i="1"/>
  <c r="L105" i="1"/>
  <c r="N105" i="1"/>
  <c r="H106" i="1"/>
  <c r="O105" i="1"/>
  <c r="M106" i="1"/>
  <c r="L106" i="1"/>
  <c r="N106" i="1"/>
  <c r="H107" i="1"/>
  <c r="O106" i="1"/>
  <c r="M107" i="1"/>
  <c r="L107" i="1"/>
  <c r="N107" i="1"/>
  <c r="H108" i="1"/>
  <c r="O107" i="1"/>
  <c r="M108" i="1"/>
  <c r="L108" i="1"/>
  <c r="N108" i="1"/>
  <c r="H109" i="1"/>
  <c r="O108" i="1"/>
  <c r="M109" i="1"/>
  <c r="L109" i="1"/>
  <c r="N109" i="1"/>
  <c r="H110" i="1"/>
  <c r="O109" i="1"/>
  <c r="M110" i="1"/>
  <c r="L110" i="1"/>
  <c r="N110" i="1"/>
  <c r="H111" i="1"/>
  <c r="O110" i="1"/>
  <c r="M111" i="1"/>
  <c r="L111" i="1"/>
  <c r="N111" i="1"/>
  <c r="H112" i="1"/>
  <c r="O111" i="1"/>
  <c r="M112" i="1"/>
  <c r="L112" i="1"/>
  <c r="N112" i="1"/>
  <c r="H113" i="1"/>
  <c r="O112" i="1"/>
  <c r="M113" i="1"/>
  <c r="L113" i="1"/>
  <c r="N113" i="1"/>
  <c r="H114" i="1"/>
  <c r="O113" i="1"/>
  <c r="M114" i="1"/>
  <c r="L114" i="1"/>
  <c r="N114" i="1"/>
  <c r="H115" i="1"/>
  <c r="O114" i="1"/>
  <c r="M115" i="1"/>
  <c r="L115" i="1"/>
  <c r="N115" i="1"/>
  <c r="H116" i="1"/>
  <c r="O115" i="1"/>
  <c r="M116" i="1"/>
  <c r="L116" i="1"/>
  <c r="N116" i="1"/>
  <c r="H117" i="1"/>
  <c r="O116" i="1"/>
  <c r="M117" i="1"/>
  <c r="L117" i="1"/>
  <c r="N117" i="1"/>
  <c r="H118" i="1"/>
  <c r="O117" i="1"/>
  <c r="M118" i="1"/>
  <c r="L118" i="1"/>
  <c r="N118" i="1"/>
  <c r="H119" i="1"/>
  <c r="O118" i="1"/>
  <c r="M119" i="1"/>
  <c r="L119" i="1"/>
  <c r="N119" i="1"/>
  <c r="H120" i="1"/>
  <c r="O119" i="1"/>
  <c r="M120" i="1"/>
  <c r="L120" i="1"/>
  <c r="N120" i="1"/>
  <c r="H121" i="1"/>
  <c r="O120" i="1"/>
  <c r="M121" i="1"/>
  <c r="L121" i="1"/>
  <c r="N121" i="1"/>
  <c r="H122" i="1"/>
  <c r="O121" i="1"/>
  <c r="M122" i="1"/>
  <c r="L122" i="1"/>
  <c r="N122" i="1"/>
  <c r="H123" i="1"/>
  <c r="O122" i="1"/>
  <c r="M123" i="1"/>
  <c r="L123" i="1"/>
  <c r="N123" i="1"/>
  <c r="H124" i="1"/>
  <c r="O123" i="1"/>
  <c r="M124" i="1"/>
  <c r="L124" i="1"/>
  <c r="N124" i="1"/>
  <c r="H125" i="1"/>
  <c r="O124" i="1"/>
  <c r="M125" i="1"/>
  <c r="L125" i="1"/>
  <c r="N125" i="1"/>
  <c r="H126" i="1"/>
  <c r="O125" i="1"/>
  <c r="M126" i="1"/>
  <c r="L126" i="1"/>
  <c r="N126" i="1"/>
  <c r="H127" i="1"/>
  <c r="O126" i="1"/>
  <c r="M127" i="1"/>
  <c r="L127" i="1"/>
  <c r="N127" i="1"/>
  <c r="H128" i="1"/>
  <c r="O127" i="1"/>
  <c r="M128" i="1"/>
  <c r="L128" i="1"/>
  <c r="N128" i="1"/>
  <c r="H129" i="1"/>
  <c r="O128" i="1"/>
  <c r="M129" i="1"/>
  <c r="L129" i="1"/>
  <c r="N129" i="1"/>
  <c r="H130" i="1"/>
  <c r="O129" i="1"/>
  <c r="M130" i="1"/>
  <c r="L130" i="1"/>
  <c r="N130" i="1"/>
  <c r="H131" i="1"/>
  <c r="O130" i="1"/>
  <c r="M131" i="1"/>
  <c r="L131" i="1"/>
  <c r="N131" i="1"/>
  <c r="H132" i="1"/>
  <c r="O131" i="1"/>
  <c r="M132" i="1"/>
  <c r="L132" i="1"/>
  <c r="N132" i="1"/>
  <c r="H133" i="1"/>
  <c r="O132" i="1"/>
  <c r="M133" i="1"/>
  <c r="L133" i="1"/>
  <c r="N133" i="1"/>
  <c r="H134" i="1"/>
  <c r="O133" i="1"/>
  <c r="M134" i="1"/>
  <c r="L134" i="1"/>
  <c r="N134" i="1"/>
  <c r="H135" i="1"/>
  <c r="O134" i="1"/>
  <c r="M135" i="1"/>
  <c r="L135" i="1"/>
  <c r="N135" i="1"/>
  <c r="H136" i="1"/>
  <c r="O135" i="1"/>
  <c r="M136" i="1"/>
  <c r="L136" i="1"/>
  <c r="N136" i="1"/>
  <c r="H137" i="1"/>
  <c r="O136" i="1"/>
  <c r="M137" i="1"/>
  <c r="L137" i="1"/>
  <c r="N137" i="1"/>
  <c r="H138" i="1"/>
  <c r="O137" i="1"/>
  <c r="M138" i="1"/>
  <c r="L138" i="1"/>
  <c r="N138" i="1"/>
  <c r="H139" i="1"/>
  <c r="O138" i="1"/>
  <c r="M139" i="1"/>
  <c r="L139" i="1"/>
  <c r="N139" i="1"/>
  <c r="H140" i="1"/>
  <c r="O139" i="1"/>
  <c r="M140" i="1"/>
  <c r="L140" i="1"/>
  <c r="N140" i="1"/>
  <c r="H141" i="1"/>
  <c r="O140" i="1"/>
  <c r="M141" i="1"/>
  <c r="L141" i="1"/>
  <c r="N141" i="1"/>
  <c r="H142" i="1"/>
  <c r="O141" i="1"/>
  <c r="M142" i="1"/>
  <c r="L142" i="1"/>
  <c r="N142" i="1"/>
  <c r="H143" i="1"/>
  <c r="O142" i="1"/>
  <c r="M143" i="1"/>
  <c r="L143" i="1"/>
  <c r="N143" i="1"/>
  <c r="H144" i="1"/>
  <c r="O143" i="1"/>
  <c r="M144" i="1"/>
  <c r="L144" i="1"/>
  <c r="N144" i="1"/>
  <c r="H145" i="1"/>
  <c r="O144" i="1"/>
  <c r="M145" i="1"/>
  <c r="L145" i="1"/>
  <c r="N145" i="1"/>
  <c r="H146" i="1"/>
  <c r="O145" i="1"/>
  <c r="M146" i="1"/>
  <c r="L146" i="1"/>
  <c r="N146" i="1"/>
  <c r="H147" i="1"/>
  <c r="O146" i="1"/>
  <c r="M147" i="1"/>
  <c r="L147" i="1"/>
  <c r="N147" i="1"/>
  <c r="H148" i="1"/>
  <c r="O147" i="1"/>
  <c r="M148" i="1"/>
  <c r="L148" i="1"/>
  <c r="N148" i="1"/>
  <c r="H149" i="1"/>
  <c r="O148" i="1"/>
  <c r="M149" i="1"/>
  <c r="L149" i="1"/>
  <c r="N149" i="1"/>
  <c r="H150" i="1"/>
  <c r="O149" i="1"/>
  <c r="M150" i="1"/>
  <c r="L150" i="1"/>
  <c r="N150" i="1"/>
  <c r="H151" i="1"/>
  <c r="O150" i="1"/>
  <c r="M151" i="1"/>
  <c r="L151" i="1"/>
  <c r="N151" i="1"/>
  <c r="H152" i="1"/>
  <c r="O151" i="1"/>
  <c r="M152" i="1"/>
  <c r="L152" i="1"/>
  <c r="N152" i="1"/>
  <c r="H153" i="1"/>
  <c r="O152" i="1"/>
  <c r="M153" i="1"/>
  <c r="L153" i="1"/>
  <c r="N153" i="1"/>
  <c r="H154" i="1"/>
  <c r="O153" i="1"/>
  <c r="M154" i="1"/>
  <c r="L154" i="1"/>
  <c r="N154" i="1"/>
  <c r="H155" i="1"/>
  <c r="O154" i="1"/>
  <c r="M155" i="1"/>
  <c r="L155" i="1"/>
  <c r="N155" i="1"/>
  <c r="H156" i="1"/>
  <c r="O155" i="1"/>
  <c r="M156" i="1"/>
  <c r="L156" i="1"/>
  <c r="N156" i="1"/>
  <c r="H157" i="1"/>
  <c r="O156" i="1"/>
  <c r="M157" i="1"/>
  <c r="L157" i="1"/>
  <c r="N157" i="1"/>
  <c r="H158" i="1"/>
  <c r="O157" i="1"/>
  <c r="M158" i="1"/>
  <c r="L158" i="1"/>
  <c r="N158" i="1"/>
  <c r="H159" i="1"/>
  <c r="O158" i="1"/>
  <c r="M159" i="1"/>
  <c r="L159" i="1"/>
  <c r="N159" i="1"/>
  <c r="H160" i="1"/>
  <c r="O159" i="1"/>
  <c r="M160" i="1"/>
  <c r="L160" i="1"/>
  <c r="N160" i="1"/>
  <c r="H161" i="1"/>
  <c r="O160" i="1"/>
  <c r="M161" i="1"/>
  <c r="L161" i="1"/>
  <c r="N161" i="1"/>
  <c r="H162" i="1"/>
  <c r="O161" i="1"/>
  <c r="M162" i="1"/>
  <c r="L162" i="1"/>
  <c r="N162" i="1"/>
  <c r="H163" i="1"/>
  <c r="O162" i="1"/>
  <c r="M163" i="1"/>
  <c r="L163" i="1"/>
  <c r="N163" i="1"/>
  <c r="H164" i="1"/>
  <c r="O163" i="1"/>
  <c r="M164" i="1"/>
  <c r="L164" i="1"/>
  <c r="N164" i="1"/>
  <c r="H165" i="1"/>
  <c r="O164" i="1"/>
  <c r="M165" i="1"/>
  <c r="L165" i="1"/>
  <c r="N165" i="1"/>
  <c r="H166" i="1"/>
  <c r="O165" i="1"/>
  <c r="M166" i="1"/>
  <c r="L166" i="1"/>
  <c r="N166" i="1"/>
  <c r="H167" i="1"/>
  <c r="O166" i="1"/>
  <c r="M167" i="1"/>
  <c r="L167" i="1"/>
  <c r="N167" i="1"/>
  <c r="H168" i="1"/>
  <c r="O167" i="1"/>
  <c r="M168" i="1"/>
  <c r="L168" i="1"/>
  <c r="N168" i="1"/>
  <c r="H169" i="1"/>
  <c r="O168" i="1"/>
  <c r="M169" i="1"/>
  <c r="L169" i="1"/>
  <c r="N169" i="1"/>
  <c r="H170" i="1"/>
  <c r="O169" i="1"/>
  <c r="M170" i="1"/>
  <c r="L170" i="1"/>
  <c r="N170" i="1"/>
  <c r="H171" i="1"/>
  <c r="O170" i="1"/>
  <c r="M171" i="1"/>
  <c r="L171" i="1"/>
  <c r="N171" i="1"/>
  <c r="H172" i="1"/>
  <c r="O171" i="1"/>
  <c r="M172" i="1"/>
  <c r="L172" i="1"/>
  <c r="N172" i="1"/>
  <c r="H173" i="1"/>
  <c r="O172" i="1"/>
  <c r="M173" i="1"/>
  <c r="L173" i="1"/>
  <c r="N173" i="1"/>
  <c r="H174" i="1"/>
  <c r="O173" i="1"/>
  <c r="M174" i="1"/>
  <c r="L174" i="1"/>
  <c r="N174" i="1"/>
  <c r="H175" i="1"/>
  <c r="O174" i="1"/>
  <c r="M175" i="1"/>
  <c r="L175" i="1"/>
  <c r="N175" i="1"/>
  <c r="H176" i="1"/>
  <c r="O175" i="1"/>
  <c r="M176" i="1"/>
  <c r="L176" i="1"/>
  <c r="N176" i="1"/>
  <c r="H177" i="1"/>
  <c r="O176" i="1"/>
  <c r="M177" i="1"/>
  <c r="L177" i="1"/>
  <c r="N177" i="1"/>
  <c r="H178" i="1"/>
  <c r="O177" i="1"/>
  <c r="M178" i="1"/>
  <c r="L178" i="1"/>
  <c r="N178" i="1"/>
  <c r="H179" i="1"/>
  <c r="O178" i="1"/>
  <c r="M179" i="1"/>
  <c r="L179" i="1"/>
  <c r="N179" i="1"/>
  <c r="H180" i="1"/>
  <c r="O179" i="1"/>
  <c r="M180" i="1"/>
  <c r="L180" i="1"/>
  <c r="N180" i="1"/>
  <c r="H181" i="1"/>
  <c r="O180" i="1"/>
  <c r="M181" i="1"/>
  <c r="L181" i="1"/>
  <c r="N181" i="1"/>
  <c r="H182" i="1"/>
  <c r="O181" i="1"/>
  <c r="M182" i="1"/>
  <c r="L182" i="1"/>
  <c r="N182" i="1"/>
  <c r="H183" i="1"/>
  <c r="O182" i="1"/>
  <c r="M183" i="1"/>
  <c r="L183" i="1"/>
  <c r="N183" i="1"/>
  <c r="H184" i="1"/>
  <c r="O183" i="1"/>
  <c r="M184" i="1"/>
  <c r="L184" i="1"/>
  <c r="N184" i="1"/>
  <c r="H185" i="1"/>
  <c r="O184" i="1"/>
  <c r="M185" i="1"/>
  <c r="L185" i="1"/>
  <c r="N185" i="1"/>
  <c r="H186" i="1"/>
  <c r="O185" i="1"/>
  <c r="M186" i="1"/>
  <c r="L186" i="1"/>
  <c r="N186" i="1"/>
  <c r="H187" i="1"/>
  <c r="O186" i="1"/>
  <c r="M187" i="1"/>
  <c r="L187" i="1"/>
  <c r="N187" i="1"/>
  <c r="H188" i="1"/>
  <c r="O187" i="1"/>
  <c r="M188" i="1"/>
  <c r="L188" i="1"/>
  <c r="N188" i="1"/>
  <c r="H189" i="1"/>
  <c r="O188" i="1"/>
  <c r="M189" i="1"/>
  <c r="L189" i="1"/>
  <c r="N189" i="1"/>
  <c r="H190" i="1"/>
  <c r="O189" i="1"/>
  <c r="M190" i="1"/>
  <c r="L190" i="1"/>
  <c r="N190" i="1"/>
  <c r="H191" i="1"/>
  <c r="O190" i="1"/>
  <c r="M191" i="1"/>
  <c r="L191" i="1"/>
  <c r="N191" i="1"/>
  <c r="H192" i="1"/>
  <c r="O191" i="1"/>
  <c r="M192" i="1"/>
  <c r="L192" i="1"/>
  <c r="N192" i="1"/>
  <c r="H193" i="1"/>
  <c r="O192" i="1"/>
  <c r="M193" i="1"/>
  <c r="L193" i="1"/>
  <c r="N193" i="1"/>
  <c r="H194" i="1"/>
  <c r="O193" i="1"/>
  <c r="M194" i="1"/>
  <c r="L194" i="1"/>
  <c r="N194" i="1"/>
  <c r="H195" i="1"/>
  <c r="O194" i="1"/>
  <c r="M195" i="1"/>
  <c r="L195" i="1"/>
  <c r="N195" i="1"/>
  <c r="H196" i="1"/>
  <c r="O195" i="1"/>
  <c r="M196" i="1"/>
  <c r="L196" i="1"/>
  <c r="N196" i="1"/>
  <c r="H197" i="1"/>
  <c r="O196" i="1"/>
  <c r="M197" i="1"/>
  <c r="L197" i="1"/>
  <c r="N197" i="1"/>
  <c r="H198" i="1"/>
  <c r="O197" i="1"/>
  <c r="M198" i="1"/>
  <c r="L198" i="1"/>
  <c r="N198" i="1"/>
  <c r="H199" i="1"/>
  <c r="O198" i="1"/>
  <c r="M199" i="1"/>
  <c r="L199" i="1"/>
  <c r="N199" i="1"/>
  <c r="H200" i="1"/>
  <c r="O199" i="1"/>
  <c r="M200" i="1"/>
  <c r="L200" i="1"/>
  <c r="N200" i="1"/>
  <c r="H201" i="1"/>
  <c r="O200" i="1"/>
  <c r="M201" i="1"/>
  <c r="L201" i="1"/>
  <c r="N201" i="1"/>
  <c r="H202" i="1"/>
  <c r="O201" i="1"/>
  <c r="M202" i="1"/>
  <c r="L202" i="1"/>
  <c r="N202" i="1"/>
  <c r="H203" i="1"/>
  <c r="O202" i="1"/>
  <c r="M203" i="1"/>
  <c r="L203" i="1"/>
  <c r="N203" i="1"/>
  <c r="H204" i="1"/>
  <c r="O203" i="1"/>
  <c r="M204" i="1"/>
  <c r="L204" i="1"/>
  <c r="N204" i="1"/>
  <c r="H205" i="1"/>
  <c r="O204" i="1"/>
  <c r="M205" i="1"/>
  <c r="L205" i="1"/>
  <c r="N205" i="1"/>
  <c r="H206" i="1"/>
  <c r="O205" i="1"/>
  <c r="M206" i="1"/>
  <c r="L206" i="1"/>
  <c r="N206" i="1"/>
  <c r="H207" i="1"/>
  <c r="O206" i="1"/>
  <c r="M207" i="1"/>
  <c r="L207" i="1"/>
  <c r="N207" i="1"/>
  <c r="H208" i="1"/>
  <c r="O207" i="1"/>
  <c r="M208" i="1"/>
  <c r="L208" i="1"/>
  <c r="N208" i="1"/>
  <c r="H209" i="1"/>
  <c r="O208" i="1"/>
  <c r="M209" i="1"/>
  <c r="L209" i="1"/>
  <c r="N209" i="1"/>
  <c r="H210" i="1"/>
  <c r="O209" i="1"/>
  <c r="M210" i="1"/>
  <c r="L210" i="1"/>
  <c r="N210" i="1"/>
  <c r="H211" i="1"/>
  <c r="O210" i="1"/>
  <c r="M211" i="1"/>
  <c r="L211" i="1"/>
  <c r="N211" i="1"/>
  <c r="H212" i="1"/>
  <c r="O211" i="1"/>
  <c r="M212" i="1"/>
  <c r="L212" i="1"/>
  <c r="N212" i="1"/>
  <c r="H213" i="1"/>
  <c r="O212" i="1"/>
  <c r="M213" i="1"/>
  <c r="L213" i="1"/>
  <c r="N213" i="1"/>
  <c r="H214" i="1"/>
  <c r="O213" i="1"/>
  <c r="M214" i="1"/>
  <c r="L214" i="1"/>
  <c r="N214" i="1"/>
  <c r="H215" i="1"/>
  <c r="O214" i="1"/>
  <c r="M215" i="1"/>
  <c r="L215" i="1"/>
  <c r="N215" i="1"/>
  <c r="H216" i="1"/>
  <c r="O215" i="1"/>
  <c r="M216" i="1"/>
  <c r="L216" i="1"/>
  <c r="N216" i="1"/>
  <c r="H217" i="1"/>
  <c r="O216" i="1"/>
  <c r="M217" i="1"/>
  <c r="L217" i="1"/>
  <c r="N217" i="1"/>
  <c r="H218" i="1"/>
  <c r="O217" i="1"/>
  <c r="M218" i="1"/>
  <c r="L218" i="1"/>
  <c r="N218" i="1"/>
  <c r="H219" i="1"/>
  <c r="O218" i="1"/>
  <c r="M219" i="1"/>
  <c r="L219" i="1"/>
  <c r="N219" i="1"/>
  <c r="H220" i="1"/>
  <c r="O219" i="1"/>
  <c r="M220" i="1"/>
  <c r="L220" i="1"/>
  <c r="N220" i="1"/>
  <c r="H221" i="1"/>
  <c r="O220" i="1"/>
  <c r="M221" i="1"/>
  <c r="L221" i="1"/>
  <c r="N221" i="1"/>
  <c r="H222" i="1"/>
  <c r="O221" i="1"/>
  <c r="M222" i="1"/>
  <c r="L222" i="1"/>
  <c r="N222" i="1"/>
  <c r="H223" i="1"/>
  <c r="O222" i="1"/>
  <c r="M223" i="1"/>
  <c r="L223" i="1"/>
  <c r="N223" i="1"/>
  <c r="H224" i="1"/>
  <c r="O223" i="1"/>
  <c r="M224" i="1"/>
  <c r="L224" i="1"/>
  <c r="N224" i="1"/>
  <c r="H225" i="1"/>
  <c r="O224" i="1"/>
  <c r="M225" i="1"/>
  <c r="L225" i="1"/>
  <c r="N225" i="1"/>
  <c r="H226" i="1"/>
  <c r="O225" i="1"/>
  <c r="M226" i="1"/>
  <c r="L226" i="1"/>
  <c r="N226" i="1"/>
  <c r="H227" i="1"/>
  <c r="O226" i="1"/>
  <c r="M227" i="1"/>
  <c r="L227" i="1"/>
  <c r="N227" i="1"/>
  <c r="H228" i="1"/>
  <c r="O227" i="1"/>
  <c r="M228" i="1"/>
  <c r="L228" i="1"/>
  <c r="N228" i="1"/>
  <c r="H229" i="1"/>
  <c r="O228" i="1"/>
  <c r="M229" i="1"/>
  <c r="L229" i="1"/>
  <c r="N229" i="1"/>
  <c r="H230" i="1"/>
  <c r="O229" i="1"/>
  <c r="M230" i="1"/>
  <c r="L230" i="1"/>
  <c r="N230" i="1"/>
  <c r="H231" i="1"/>
  <c r="O230" i="1"/>
  <c r="M231" i="1"/>
  <c r="L231" i="1"/>
  <c r="N231" i="1"/>
  <c r="H232" i="1"/>
  <c r="O231" i="1"/>
  <c r="M232" i="1"/>
  <c r="L232" i="1"/>
  <c r="N232" i="1"/>
  <c r="H233" i="1"/>
  <c r="O232" i="1"/>
  <c r="M233" i="1"/>
  <c r="L233" i="1"/>
  <c r="N233" i="1"/>
  <c r="H234" i="1"/>
  <c r="O233" i="1"/>
  <c r="M234" i="1"/>
  <c r="L234" i="1"/>
  <c r="N234" i="1"/>
  <c r="H235" i="1"/>
  <c r="O234" i="1"/>
  <c r="M235" i="1"/>
  <c r="L235" i="1"/>
  <c r="N235" i="1"/>
  <c r="H236" i="1"/>
  <c r="O235" i="1"/>
  <c r="M236" i="1"/>
  <c r="L236" i="1"/>
  <c r="N236" i="1"/>
  <c r="H237" i="1"/>
  <c r="O236" i="1"/>
  <c r="M237" i="1"/>
  <c r="L237" i="1"/>
  <c r="N237" i="1"/>
  <c r="H238" i="1"/>
  <c r="O237" i="1"/>
  <c r="M238" i="1"/>
  <c r="L238" i="1"/>
  <c r="N238" i="1"/>
  <c r="H239" i="1"/>
  <c r="O238" i="1"/>
  <c r="M239" i="1"/>
  <c r="L239" i="1"/>
  <c r="N239" i="1"/>
  <c r="H240" i="1"/>
  <c r="O239" i="1"/>
  <c r="M240" i="1"/>
  <c r="L240" i="1"/>
  <c r="N240" i="1"/>
  <c r="H241" i="1"/>
  <c r="O240" i="1"/>
  <c r="M241" i="1"/>
  <c r="L241" i="1"/>
  <c r="N241" i="1"/>
  <c r="H242" i="1"/>
  <c r="O241" i="1"/>
  <c r="M242" i="1"/>
  <c r="L242" i="1"/>
  <c r="N242" i="1"/>
  <c r="H243" i="1"/>
  <c r="O242" i="1"/>
  <c r="M243" i="1"/>
  <c r="L243" i="1"/>
  <c r="N243" i="1"/>
  <c r="H244" i="1"/>
  <c r="O243" i="1"/>
  <c r="M244" i="1"/>
  <c r="L244" i="1"/>
  <c r="N244" i="1"/>
  <c r="H245" i="1"/>
  <c r="O244" i="1"/>
  <c r="M245" i="1"/>
  <c r="L245" i="1"/>
  <c r="N245" i="1"/>
  <c r="H246" i="1"/>
  <c r="O245" i="1"/>
  <c r="M246" i="1"/>
  <c r="L246" i="1"/>
  <c r="N246" i="1"/>
  <c r="H247" i="1"/>
  <c r="O246" i="1"/>
  <c r="M247" i="1"/>
  <c r="L247" i="1"/>
  <c r="N247" i="1"/>
  <c r="H248" i="1"/>
  <c r="O247" i="1"/>
  <c r="M248" i="1"/>
  <c r="L248" i="1"/>
  <c r="N248" i="1"/>
  <c r="H249" i="1"/>
  <c r="O248" i="1"/>
  <c r="M249" i="1"/>
  <c r="L249" i="1"/>
  <c r="N249" i="1"/>
  <c r="H250" i="1"/>
  <c r="O249" i="1"/>
  <c r="M250" i="1"/>
  <c r="L250" i="1"/>
  <c r="N250" i="1"/>
  <c r="H251" i="1"/>
  <c r="O250" i="1"/>
  <c r="M251" i="1"/>
  <c r="L251" i="1"/>
  <c r="N251" i="1"/>
  <c r="H252" i="1"/>
  <c r="O251" i="1"/>
  <c r="M252" i="1"/>
  <c r="L252" i="1"/>
  <c r="N252" i="1"/>
  <c r="H253" i="1"/>
  <c r="O252" i="1"/>
  <c r="M253" i="1"/>
  <c r="L253" i="1"/>
  <c r="N253" i="1"/>
  <c r="H254" i="1"/>
  <c r="O253" i="1"/>
  <c r="M254" i="1"/>
  <c r="L254" i="1"/>
  <c r="N254" i="1"/>
  <c r="H255" i="1"/>
  <c r="O254" i="1"/>
  <c r="M255" i="1"/>
  <c r="L255" i="1"/>
  <c r="N255" i="1"/>
  <c r="H256" i="1"/>
  <c r="O255" i="1"/>
  <c r="M256" i="1"/>
  <c r="L256" i="1"/>
  <c r="N256" i="1"/>
  <c r="H257" i="1"/>
  <c r="O256" i="1"/>
  <c r="M257" i="1"/>
  <c r="L257" i="1"/>
  <c r="N257" i="1"/>
  <c r="H258" i="1"/>
  <c r="O257" i="1"/>
  <c r="M258" i="1"/>
  <c r="L258" i="1"/>
  <c r="N258" i="1"/>
  <c r="H259" i="1"/>
  <c r="O258" i="1"/>
  <c r="M259" i="1"/>
  <c r="L259" i="1"/>
  <c r="N259" i="1"/>
  <c r="H260" i="1"/>
  <c r="O259" i="1"/>
  <c r="M260" i="1"/>
  <c r="L260" i="1"/>
  <c r="N260" i="1"/>
  <c r="H261" i="1"/>
  <c r="O260" i="1"/>
  <c r="M261" i="1"/>
  <c r="L261" i="1"/>
  <c r="N261" i="1"/>
  <c r="H262" i="1"/>
  <c r="O261" i="1"/>
  <c r="M262" i="1"/>
  <c r="L262" i="1"/>
  <c r="N262" i="1"/>
  <c r="H263" i="1"/>
  <c r="O262" i="1"/>
  <c r="M263" i="1"/>
  <c r="L263" i="1"/>
  <c r="N263" i="1"/>
  <c r="H264" i="1"/>
  <c r="O263" i="1"/>
  <c r="M264" i="1"/>
  <c r="L264" i="1"/>
  <c r="N264" i="1"/>
  <c r="H265" i="1"/>
  <c r="O264" i="1"/>
  <c r="M265" i="1"/>
  <c r="L265" i="1"/>
  <c r="N265" i="1"/>
  <c r="H266" i="1"/>
  <c r="O265" i="1"/>
  <c r="M266" i="1"/>
  <c r="L266" i="1"/>
  <c r="N266" i="1"/>
  <c r="H267" i="1"/>
  <c r="O266" i="1"/>
  <c r="M267" i="1"/>
  <c r="L267" i="1"/>
  <c r="N267" i="1"/>
  <c r="H268" i="1"/>
  <c r="O267" i="1"/>
  <c r="M268" i="1"/>
  <c r="L268" i="1"/>
  <c r="N268" i="1"/>
  <c r="H269" i="1"/>
  <c r="O268" i="1"/>
  <c r="M269" i="1"/>
  <c r="L269" i="1"/>
  <c r="N269" i="1"/>
  <c r="H270" i="1"/>
  <c r="O269" i="1"/>
  <c r="M270" i="1"/>
  <c r="L270" i="1"/>
  <c r="N270" i="1"/>
  <c r="H271" i="1"/>
  <c r="O270" i="1"/>
  <c r="M271" i="1"/>
  <c r="L271" i="1"/>
  <c r="N271" i="1"/>
  <c r="H272" i="1"/>
  <c r="O271" i="1"/>
  <c r="M272" i="1"/>
  <c r="L272" i="1"/>
  <c r="N272" i="1"/>
  <c r="H273" i="1"/>
  <c r="O272" i="1"/>
  <c r="M273" i="1"/>
  <c r="L273" i="1"/>
  <c r="N273" i="1"/>
  <c r="H274" i="1"/>
  <c r="O273" i="1"/>
  <c r="M274" i="1"/>
  <c r="L274" i="1"/>
  <c r="N274" i="1"/>
  <c r="H275" i="1"/>
  <c r="O274" i="1"/>
  <c r="M275" i="1"/>
  <c r="L275" i="1"/>
  <c r="N275" i="1"/>
  <c r="H276" i="1"/>
  <c r="O275" i="1"/>
  <c r="M276" i="1"/>
  <c r="L276" i="1"/>
  <c r="N276" i="1"/>
  <c r="H277" i="1"/>
  <c r="O276" i="1"/>
  <c r="M277" i="1"/>
  <c r="L277" i="1"/>
  <c r="N277" i="1"/>
  <c r="H278" i="1"/>
  <c r="O277" i="1"/>
  <c r="M278" i="1"/>
  <c r="L278" i="1"/>
  <c r="N278" i="1"/>
  <c r="H279" i="1"/>
  <c r="O278" i="1"/>
  <c r="M279" i="1"/>
  <c r="L279" i="1"/>
  <c r="N279" i="1"/>
  <c r="H280" i="1"/>
  <c r="O279" i="1"/>
  <c r="M280" i="1"/>
  <c r="L280" i="1"/>
  <c r="N280" i="1"/>
  <c r="H281" i="1"/>
  <c r="O280" i="1"/>
  <c r="M281" i="1"/>
  <c r="L281" i="1"/>
  <c r="N281" i="1"/>
  <c r="H282" i="1"/>
  <c r="O281" i="1"/>
  <c r="M282" i="1"/>
  <c r="L282" i="1"/>
  <c r="N282" i="1"/>
  <c r="H283" i="1"/>
  <c r="O282" i="1"/>
  <c r="M283" i="1"/>
  <c r="L283" i="1"/>
  <c r="N283" i="1"/>
  <c r="H284" i="1"/>
  <c r="O283" i="1"/>
  <c r="M284" i="1"/>
  <c r="L284" i="1"/>
  <c r="N284" i="1"/>
  <c r="H285" i="1"/>
  <c r="O284" i="1"/>
  <c r="M285" i="1"/>
  <c r="L285" i="1"/>
  <c r="N285" i="1"/>
  <c r="H286" i="1"/>
  <c r="O285" i="1"/>
  <c r="M286" i="1"/>
  <c r="L286" i="1"/>
  <c r="N286" i="1"/>
  <c r="H287" i="1"/>
  <c r="O286" i="1"/>
  <c r="M287" i="1"/>
  <c r="L287" i="1"/>
  <c r="N287" i="1"/>
  <c r="H288" i="1"/>
  <c r="O287" i="1"/>
  <c r="M288" i="1"/>
  <c r="L288" i="1"/>
  <c r="N288" i="1"/>
  <c r="H289" i="1"/>
  <c r="O288" i="1"/>
  <c r="M289" i="1"/>
  <c r="L289" i="1"/>
  <c r="N289" i="1"/>
  <c r="H290" i="1"/>
  <c r="O289" i="1"/>
  <c r="M290" i="1"/>
  <c r="L290" i="1"/>
  <c r="N290" i="1"/>
  <c r="H291" i="1"/>
  <c r="O290" i="1"/>
  <c r="M291" i="1"/>
  <c r="L291" i="1"/>
  <c r="N291" i="1"/>
  <c r="H292" i="1"/>
  <c r="O291" i="1"/>
  <c r="M292" i="1"/>
  <c r="L292" i="1"/>
  <c r="N292" i="1"/>
  <c r="H293" i="1"/>
  <c r="O292" i="1"/>
  <c r="M293" i="1"/>
  <c r="L293" i="1"/>
  <c r="N293" i="1"/>
  <c r="H294" i="1"/>
  <c r="O293" i="1"/>
  <c r="M294" i="1"/>
  <c r="L294" i="1"/>
  <c r="N294" i="1"/>
  <c r="H295" i="1"/>
  <c r="O294" i="1"/>
  <c r="M295" i="1"/>
  <c r="L295" i="1"/>
  <c r="N295" i="1"/>
  <c r="H296" i="1"/>
  <c r="O295" i="1"/>
  <c r="M296" i="1"/>
  <c r="L296" i="1"/>
  <c r="N296" i="1"/>
  <c r="H297" i="1"/>
  <c r="O296" i="1"/>
  <c r="M297" i="1"/>
  <c r="L297" i="1"/>
  <c r="N297" i="1"/>
  <c r="H298" i="1"/>
  <c r="O297" i="1"/>
  <c r="M298" i="1"/>
  <c r="L298" i="1"/>
  <c r="N298" i="1"/>
  <c r="H299" i="1"/>
  <c r="O298" i="1"/>
  <c r="M299" i="1"/>
  <c r="L299" i="1"/>
  <c r="N299" i="1"/>
  <c r="H300" i="1"/>
  <c r="O299" i="1"/>
  <c r="M300" i="1"/>
  <c r="L300" i="1"/>
  <c r="N300" i="1"/>
  <c r="H301" i="1"/>
  <c r="O300" i="1"/>
  <c r="M301" i="1"/>
  <c r="L301" i="1"/>
  <c r="N301" i="1"/>
  <c r="H302" i="1"/>
  <c r="O301" i="1"/>
  <c r="M302" i="1"/>
  <c r="L302" i="1"/>
  <c r="N302" i="1"/>
  <c r="H303" i="1"/>
  <c r="O302" i="1"/>
  <c r="M303" i="1"/>
  <c r="L303" i="1"/>
  <c r="N303" i="1"/>
  <c r="H304" i="1"/>
  <c r="O303" i="1"/>
  <c r="M304" i="1"/>
  <c r="L304" i="1"/>
  <c r="N304" i="1"/>
  <c r="H305" i="1"/>
  <c r="O304" i="1"/>
  <c r="M305" i="1"/>
  <c r="L305" i="1"/>
  <c r="N305" i="1"/>
  <c r="H306" i="1"/>
  <c r="O305" i="1"/>
  <c r="M306" i="1"/>
  <c r="L306" i="1"/>
  <c r="N306" i="1"/>
  <c r="H307" i="1"/>
  <c r="O306" i="1"/>
  <c r="M307" i="1"/>
  <c r="L307" i="1"/>
  <c r="N307" i="1"/>
  <c r="H308" i="1"/>
  <c r="O307" i="1"/>
  <c r="M308" i="1"/>
  <c r="L308" i="1"/>
  <c r="N308" i="1"/>
  <c r="H309" i="1"/>
  <c r="O308" i="1"/>
  <c r="M309" i="1"/>
  <c r="L309" i="1"/>
  <c r="N309" i="1"/>
  <c r="H310" i="1"/>
  <c r="O309" i="1"/>
  <c r="M310" i="1"/>
  <c r="L310" i="1"/>
  <c r="N310" i="1"/>
  <c r="H311" i="1"/>
  <c r="O310" i="1"/>
  <c r="M311" i="1"/>
  <c r="L311" i="1"/>
  <c r="N311" i="1"/>
  <c r="H312" i="1"/>
  <c r="O311" i="1"/>
  <c r="M312" i="1"/>
  <c r="L312" i="1"/>
  <c r="N312" i="1"/>
  <c r="H313" i="1"/>
  <c r="O312" i="1"/>
  <c r="M313" i="1"/>
  <c r="L313" i="1"/>
  <c r="N313" i="1"/>
  <c r="H314" i="1"/>
  <c r="O313" i="1"/>
  <c r="M314" i="1"/>
  <c r="L314" i="1"/>
  <c r="N314" i="1"/>
  <c r="H315" i="1"/>
  <c r="O314" i="1"/>
  <c r="M315" i="1"/>
  <c r="L315" i="1"/>
  <c r="N315" i="1"/>
  <c r="H316" i="1"/>
  <c r="O315" i="1"/>
  <c r="M316" i="1"/>
  <c r="L316" i="1"/>
  <c r="N316" i="1"/>
  <c r="H317" i="1"/>
  <c r="O316" i="1"/>
  <c r="M317" i="1"/>
  <c r="L317" i="1"/>
  <c r="N317" i="1"/>
  <c r="H318" i="1"/>
  <c r="O317" i="1"/>
  <c r="M318" i="1"/>
  <c r="L318" i="1"/>
  <c r="N318" i="1"/>
  <c r="H319" i="1"/>
  <c r="O318" i="1"/>
  <c r="M319" i="1"/>
  <c r="L319" i="1"/>
  <c r="N319" i="1"/>
  <c r="H320" i="1"/>
  <c r="O319" i="1"/>
  <c r="M320" i="1"/>
  <c r="L320" i="1"/>
  <c r="N320" i="1"/>
  <c r="H321" i="1"/>
  <c r="O320" i="1"/>
  <c r="M321" i="1"/>
  <c r="L321" i="1"/>
  <c r="N321" i="1"/>
  <c r="H322" i="1"/>
  <c r="O321" i="1"/>
  <c r="M322" i="1"/>
  <c r="L322" i="1"/>
  <c r="N322" i="1"/>
  <c r="H323" i="1"/>
  <c r="O322" i="1"/>
  <c r="M323" i="1"/>
  <c r="L323" i="1"/>
  <c r="N323" i="1"/>
  <c r="H324" i="1"/>
  <c r="O323" i="1"/>
  <c r="M324" i="1"/>
  <c r="L324" i="1"/>
  <c r="N324" i="1"/>
  <c r="H325" i="1"/>
  <c r="O324" i="1"/>
  <c r="M325" i="1"/>
  <c r="L325" i="1"/>
  <c r="N325" i="1"/>
  <c r="H326" i="1"/>
  <c r="O325" i="1"/>
  <c r="M326" i="1"/>
  <c r="L326" i="1"/>
  <c r="N326" i="1"/>
  <c r="H327" i="1"/>
  <c r="O326" i="1"/>
  <c r="M327" i="1"/>
  <c r="L327" i="1"/>
  <c r="N327" i="1"/>
  <c r="H328" i="1"/>
  <c r="O327" i="1"/>
  <c r="M328" i="1"/>
  <c r="L328" i="1"/>
  <c r="N328" i="1"/>
  <c r="H329" i="1"/>
  <c r="O328" i="1"/>
  <c r="M329" i="1"/>
  <c r="L329" i="1"/>
  <c r="N329" i="1"/>
  <c r="H330" i="1"/>
  <c r="O329" i="1"/>
  <c r="M330" i="1"/>
  <c r="L330" i="1"/>
  <c r="N330" i="1"/>
  <c r="H331" i="1"/>
  <c r="O330" i="1"/>
  <c r="M331" i="1"/>
  <c r="L331" i="1"/>
  <c r="N331" i="1"/>
  <c r="H332" i="1"/>
  <c r="O331" i="1"/>
  <c r="M332" i="1"/>
  <c r="L332" i="1"/>
  <c r="N332" i="1"/>
  <c r="H333" i="1"/>
  <c r="O332" i="1"/>
  <c r="M333" i="1"/>
  <c r="L333" i="1"/>
  <c r="N333" i="1"/>
  <c r="H334" i="1"/>
  <c r="O333" i="1"/>
  <c r="M334" i="1"/>
  <c r="L334" i="1"/>
  <c r="N334" i="1"/>
  <c r="H335" i="1"/>
  <c r="O334" i="1"/>
  <c r="M335" i="1"/>
  <c r="L335" i="1"/>
  <c r="N335" i="1"/>
  <c r="H336" i="1"/>
  <c r="O335" i="1"/>
  <c r="M336" i="1"/>
  <c r="L336" i="1"/>
  <c r="N336" i="1"/>
  <c r="H337" i="1"/>
  <c r="O336" i="1"/>
  <c r="M337" i="1"/>
  <c r="L337" i="1"/>
  <c r="N337" i="1"/>
  <c r="H338" i="1"/>
  <c r="O337" i="1"/>
  <c r="M338" i="1"/>
  <c r="L338" i="1"/>
  <c r="N338" i="1"/>
  <c r="H339" i="1"/>
  <c r="O338" i="1"/>
  <c r="M339" i="1"/>
  <c r="L339" i="1"/>
  <c r="N339" i="1"/>
  <c r="H340" i="1"/>
  <c r="O339" i="1"/>
  <c r="M340" i="1"/>
  <c r="L340" i="1"/>
  <c r="N340" i="1"/>
  <c r="H341" i="1"/>
  <c r="O340" i="1"/>
  <c r="M341" i="1"/>
  <c r="L341" i="1"/>
  <c r="N341" i="1"/>
  <c r="H342" i="1"/>
  <c r="O341" i="1"/>
  <c r="M342" i="1"/>
  <c r="L342" i="1"/>
  <c r="N342" i="1"/>
  <c r="H343" i="1"/>
  <c r="O342" i="1"/>
  <c r="M343" i="1"/>
  <c r="L343" i="1"/>
  <c r="N343" i="1"/>
  <c r="H344" i="1"/>
  <c r="O343" i="1"/>
  <c r="M344" i="1"/>
  <c r="L344" i="1"/>
  <c r="N344" i="1"/>
  <c r="H345" i="1"/>
  <c r="O344" i="1"/>
  <c r="M345" i="1"/>
  <c r="L345" i="1"/>
  <c r="N345" i="1"/>
  <c r="H346" i="1"/>
  <c r="O345" i="1"/>
  <c r="M346" i="1"/>
  <c r="L346" i="1"/>
  <c r="N346" i="1"/>
  <c r="H347" i="1"/>
  <c r="O346" i="1"/>
  <c r="M347" i="1"/>
  <c r="L347" i="1"/>
  <c r="N347" i="1"/>
  <c r="H348" i="1"/>
  <c r="O347" i="1"/>
  <c r="M348" i="1"/>
  <c r="L348" i="1"/>
  <c r="N348" i="1"/>
  <c r="H349" i="1"/>
  <c r="O348" i="1"/>
  <c r="M349" i="1"/>
  <c r="L349" i="1"/>
  <c r="N349" i="1"/>
  <c r="H350" i="1"/>
  <c r="O349" i="1"/>
  <c r="M350" i="1"/>
  <c r="L350" i="1"/>
  <c r="N350" i="1"/>
  <c r="H351" i="1"/>
  <c r="O350" i="1"/>
  <c r="M351" i="1"/>
  <c r="L351" i="1"/>
  <c r="N351" i="1"/>
  <c r="H352" i="1"/>
  <c r="O351" i="1"/>
  <c r="M352" i="1"/>
  <c r="L352" i="1"/>
  <c r="N352" i="1"/>
  <c r="H353" i="1"/>
  <c r="O352" i="1"/>
  <c r="M353" i="1"/>
  <c r="L353" i="1"/>
  <c r="N353" i="1"/>
  <c r="H354" i="1"/>
  <c r="O353" i="1"/>
  <c r="M354" i="1"/>
  <c r="L354" i="1"/>
  <c r="N354" i="1"/>
  <c r="H355" i="1"/>
  <c r="O354" i="1"/>
  <c r="M355" i="1"/>
  <c r="L355" i="1"/>
  <c r="N355" i="1"/>
  <c r="H356" i="1"/>
  <c r="O355" i="1"/>
  <c r="M356" i="1"/>
  <c r="L356" i="1"/>
  <c r="N356" i="1"/>
  <c r="H357" i="1"/>
  <c r="O356" i="1"/>
  <c r="M357" i="1"/>
  <c r="L357" i="1"/>
  <c r="N357" i="1"/>
  <c r="H358" i="1"/>
  <c r="O357" i="1"/>
  <c r="M358" i="1"/>
  <c r="L358" i="1"/>
  <c r="N358" i="1"/>
  <c r="H359" i="1"/>
  <c r="O358" i="1"/>
  <c r="M359" i="1"/>
  <c r="L359" i="1"/>
  <c r="N359" i="1"/>
  <c r="H360" i="1"/>
  <c r="O359" i="1"/>
  <c r="M360" i="1"/>
  <c r="L360" i="1"/>
  <c r="N360" i="1"/>
  <c r="H361" i="1"/>
  <c r="O360" i="1"/>
  <c r="M361" i="1"/>
  <c r="L361" i="1"/>
  <c r="N361" i="1"/>
  <c r="D14" i="1"/>
  <c r="O361" i="1"/>
  <c r="D15" i="1"/>
  <c r="D16" i="1"/>
  <c r="D17" i="1"/>
</calcChain>
</file>

<file path=xl/sharedStrings.xml><?xml version="1.0" encoding="utf-8"?>
<sst xmlns="http://schemas.openxmlformats.org/spreadsheetml/2006/main" count="64" uniqueCount="25">
  <si>
    <t>ENTER VALUES</t>
  </si>
  <si>
    <t>Loan amount</t>
  </si>
  <si>
    <t>Interest rate</t>
  </si>
  <si>
    <t>Loan term in years</t>
  </si>
  <si>
    <t>Payments made per year</t>
  </si>
  <si>
    <t>Loan repayment start date</t>
  </si>
  <si>
    <t>Optional extra payments</t>
  </si>
  <si>
    <t>Total interest</t>
  </si>
  <si>
    <t>Total early payments</t>
  </si>
  <si>
    <t>Years saved off original loan term</t>
  </si>
  <si>
    <t>Actual number of payments</t>
  </si>
  <si>
    <t>Scheduled number of payments</t>
  </si>
  <si>
    <t>Scheduled payment</t>
  </si>
  <si>
    <t>LOAN SUMMARY</t>
  </si>
  <si>
    <t>Payment Number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</si>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</sst>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14" fontId="0" fillId="0" borderId="0" xfId="0" applyNumberFormat="1"/>
    <xf numFmtId="44" fontId="2" fillId="2" borderId="0" xfId="1" applyFont="1" applyFill="1"/>
    <xf numFmtId="44" fontId="0" fillId="0" borderId="0" xfId="1" applyFont="1"/>
    <xf numFmtId="0" fontId="3" fillId="0" borderId="0" xfId="0" applyFont="1"/>
    <xf numFmtId="8" fontId="0" fillId="0" borderId="0" xfId="0" applyNumberFormat="1"/>
    <xf numFmtId="0" fontId="0" fillId="3" borderId="0" xfId="0" applyFill="1"/>
    <xf numFmtId="0" fontId="0" fillId="4" borderId="0" xfId="0" applyFill="1"/>
    <xf numFmtId="8" fontId="0" fillId="4" borderId="0" xfId="0" applyNumberFormat="1" applyFill="1"/>
    <xf numFmtId="0" fontId="0" fillId="4" borderId="0" xfId="1" applyNumberFormat="1" applyFont="1" applyFill="1"/>
    <xf numFmtId="44" fontId="0" fillId="4" borderId="0" xfId="0" applyNumberFormat="1" applyFill="1"/>
    <xf numFmtId="44" fontId="0" fillId="3" borderId="0" xfId="1" applyFont="1" applyFill="1"/>
    <xf numFmtId="9" fontId="0" fillId="3" borderId="0" xfId="2" applyFont="1" applyFill="1"/>
    <xf numFmtId="14" fontId="0" fillId="3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D7CA-E344-594D-A6FB-9A2AB9C0E746}">
  <dimension ref="B1:O401"/>
  <sheetViews>
    <sheetView tabSelected="1" workbookViewId="0">
      <selection activeCell="G2" sqref="G2"/>
    </sheetView>
  </sheetViews>
  <sheetFormatPr baseColWidth="10" defaultRowHeight="16" x14ac:dyDescent="0.2"/>
  <cols>
    <col min="2" max="2" width="27.83203125" bestFit="1" customWidth="1"/>
    <col min="4" max="4" width="12.5" bestFit="1" customWidth="1"/>
    <col min="6" max="6" width="15" bestFit="1" customWidth="1"/>
    <col min="7" max="7" width="12.5" bestFit="1" customWidth="1"/>
    <col min="8" max="8" width="17.5" style="4" bestFit="1" customWidth="1"/>
    <col min="9" max="9" width="18.5" style="4" bestFit="1" customWidth="1"/>
    <col min="10" max="10" width="14" style="4" bestFit="1" customWidth="1"/>
    <col min="11" max="11" width="13.83203125" style="4" bestFit="1" customWidth="1"/>
    <col min="12" max="13" width="12.1640625" style="4" bestFit="1" customWidth="1"/>
    <col min="14" max="14" width="14.83203125" style="4" bestFit="1" customWidth="1"/>
    <col min="15" max="15" width="17.33203125" style="4" bestFit="1" customWidth="1"/>
  </cols>
  <sheetData>
    <row r="1" spans="2:15" x14ac:dyDescent="0.2">
      <c r="F1" s="1" t="s">
        <v>14</v>
      </c>
      <c r="G1" s="1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</row>
    <row r="2" spans="2:15" x14ac:dyDescent="0.2">
      <c r="B2" s="5" t="s">
        <v>0</v>
      </c>
      <c r="F2">
        <v>1</v>
      </c>
      <c r="G2" s="2">
        <f t="shared" ref="G2:G65" si="0">IF(F2 &lt;&gt; "", EOMONTH(D$7, ROW() - 1 - 1), "")</f>
        <v>45412</v>
      </c>
      <c r="H2" s="4">
        <f t="shared" ref="H2:H65" si="1">IF(F2&lt;&gt;"", IF(F2 = 1, D$3, N1),  "")</f>
        <v>500000</v>
      </c>
      <c r="I2" s="4">
        <f t="shared" ref="I2:I65" si="2">IF(F2&lt;&gt;"", D$12, "")</f>
        <v>2684.1081150606951</v>
      </c>
      <c r="J2" s="4">
        <f t="shared" ref="J2:J65" si="3">IF(F2 &lt;&gt; "", D$8, "")</f>
        <v>100</v>
      </c>
      <c r="K2" s="4">
        <f>IF(F2 &lt;&gt; "", I2+J2, "")</f>
        <v>2784.1081150606951</v>
      </c>
      <c r="L2" s="4">
        <f>IF(F2&lt;&gt;"",K2-M2,"")</f>
        <v>700.77478172736164</v>
      </c>
      <c r="M2" s="4">
        <f t="shared" ref="M2:M65" si="4">IF(F2 &lt;&gt; "", H2 * D$4/D$6, "")</f>
        <v>2083.3333333333335</v>
      </c>
      <c r="N2" s="4">
        <f>IF(F2 &lt;&gt; "", IF(H2-L2 &lt; 0, 0, H2-L2), "")</f>
        <v>499299.22521827265</v>
      </c>
      <c r="O2" s="4">
        <f>IF(F2&lt;&gt;"", IF(F2 = 1, 0, O1) + M2, "")</f>
        <v>2083.3333333333335</v>
      </c>
    </row>
    <row r="3" spans="2:15" x14ac:dyDescent="0.2">
      <c r="B3" s="7" t="s">
        <v>1</v>
      </c>
      <c r="C3" s="7"/>
      <c r="D3" s="12">
        <v>500000</v>
      </c>
      <c r="F3">
        <v>2</v>
      </c>
      <c r="G3" s="2">
        <f t="shared" si="0"/>
        <v>45443</v>
      </c>
      <c r="H3" s="4">
        <f t="shared" si="1"/>
        <v>499299.22521827265</v>
      </c>
      <c r="I3" s="4">
        <f t="shared" si="2"/>
        <v>2684.1081150606951</v>
      </c>
      <c r="J3" s="4">
        <f t="shared" si="3"/>
        <v>100</v>
      </c>
      <c r="K3" s="4">
        <f t="shared" ref="K3:K4" si="5">IF(F3 &lt;&gt; "", I3+J3, "")</f>
        <v>2784.1081150606951</v>
      </c>
      <c r="L3" s="4">
        <f t="shared" ref="L3:L4" si="6">IF(F3&lt;&gt;"",K3-M3,"")</f>
        <v>703.69467665122556</v>
      </c>
      <c r="M3" s="4">
        <f t="shared" si="4"/>
        <v>2080.4134384094696</v>
      </c>
      <c r="N3" s="4">
        <f t="shared" ref="N3:N4" si="7">IF(F3 &lt;&gt; "", IF(H3-L3 &lt; 0, 0, H3-L3), "")</f>
        <v>498595.53054162144</v>
      </c>
      <c r="O3" s="4">
        <f t="shared" ref="O3:O4" si="8">IF(F3&lt;&gt;"", IF(F3 = 1, 0, O2) + M3, "")</f>
        <v>4163.7467717428026</v>
      </c>
    </row>
    <row r="4" spans="2:15" x14ac:dyDescent="0.2">
      <c r="B4" s="7" t="s">
        <v>2</v>
      </c>
      <c r="C4" s="7"/>
      <c r="D4" s="13">
        <v>0.05</v>
      </c>
      <c r="F4">
        <v>3</v>
      </c>
      <c r="G4" s="2">
        <f t="shared" si="0"/>
        <v>45473</v>
      </c>
      <c r="H4" s="4">
        <f t="shared" si="1"/>
        <v>498595.53054162144</v>
      </c>
      <c r="I4" s="4">
        <f t="shared" si="2"/>
        <v>2684.1081150606951</v>
      </c>
      <c r="J4" s="4">
        <f t="shared" si="3"/>
        <v>100</v>
      </c>
      <c r="K4" s="4">
        <f t="shared" si="5"/>
        <v>2784.1081150606951</v>
      </c>
      <c r="L4" s="4">
        <f t="shared" si="6"/>
        <v>706.62673780393879</v>
      </c>
      <c r="M4" s="4">
        <f t="shared" si="4"/>
        <v>2077.4813772567563</v>
      </c>
      <c r="N4" s="4">
        <f t="shared" si="7"/>
        <v>497888.90380381752</v>
      </c>
      <c r="O4" s="4">
        <f t="shared" si="8"/>
        <v>6241.2281489995585</v>
      </c>
    </row>
    <row r="5" spans="2:15" x14ac:dyDescent="0.2">
      <c r="B5" s="7" t="s">
        <v>3</v>
      </c>
      <c r="C5" s="7"/>
      <c r="D5" s="7">
        <v>30</v>
      </c>
      <c r="F5">
        <v>4</v>
      </c>
      <c r="G5" s="2">
        <f t="shared" si="0"/>
        <v>45504</v>
      </c>
      <c r="H5" s="4">
        <f t="shared" si="1"/>
        <v>497888.90380381752</v>
      </c>
      <c r="I5" s="4">
        <f t="shared" si="2"/>
        <v>2684.1081150606951</v>
      </c>
      <c r="J5" s="4">
        <f t="shared" si="3"/>
        <v>100</v>
      </c>
      <c r="K5" s="4">
        <f t="shared" ref="K5:K68" si="9">IF(F5 &lt;&gt; "", I5+J5, "")</f>
        <v>2784.1081150606951</v>
      </c>
      <c r="L5" s="4">
        <f t="shared" ref="L5:L68" si="10">IF(F5&lt;&gt;"",K5-M5,"")</f>
        <v>709.57101587812213</v>
      </c>
      <c r="M5" s="4">
        <f t="shared" si="4"/>
        <v>2074.537099182573</v>
      </c>
      <c r="N5" s="4">
        <f t="shared" ref="N5:N68" si="11">IF(F5 &lt;&gt; "", IF(H5-L5 &lt; 0, 0, H5-L5), "")</f>
        <v>497179.33278793941</v>
      </c>
      <c r="O5" s="4">
        <f t="shared" ref="O5:O68" si="12">IF(F5&lt;&gt;"", IF(F5 = 1, 0, O4) + M5, "")</f>
        <v>8315.7652481821315</v>
      </c>
    </row>
    <row r="6" spans="2:15" x14ac:dyDescent="0.2">
      <c r="B6" s="7" t="s">
        <v>4</v>
      </c>
      <c r="C6" s="7"/>
      <c r="D6" s="7">
        <v>12</v>
      </c>
      <c r="F6">
        <v>5</v>
      </c>
      <c r="G6" s="2">
        <f t="shared" si="0"/>
        <v>45535</v>
      </c>
      <c r="H6" s="4">
        <f t="shared" si="1"/>
        <v>497179.33278793941</v>
      </c>
      <c r="I6" s="4">
        <f t="shared" si="2"/>
        <v>2684.1081150606951</v>
      </c>
      <c r="J6" s="4">
        <f t="shared" si="3"/>
        <v>100</v>
      </c>
      <c r="K6" s="4">
        <f t="shared" si="9"/>
        <v>2784.1081150606951</v>
      </c>
      <c r="L6" s="4">
        <f t="shared" si="10"/>
        <v>712.52756177761421</v>
      </c>
      <c r="M6" s="4">
        <f t="shared" si="4"/>
        <v>2071.5805532830809</v>
      </c>
      <c r="N6" s="4">
        <f t="shared" si="11"/>
        <v>496466.80522616178</v>
      </c>
      <c r="O6" s="4">
        <f t="shared" si="12"/>
        <v>10387.345801465213</v>
      </c>
    </row>
    <row r="7" spans="2:15" x14ac:dyDescent="0.2">
      <c r="B7" s="7" t="s">
        <v>5</v>
      </c>
      <c r="C7" s="7"/>
      <c r="D7" s="14">
        <v>45411</v>
      </c>
      <c r="F7">
        <v>6</v>
      </c>
      <c r="G7" s="2">
        <f t="shared" si="0"/>
        <v>45565</v>
      </c>
      <c r="H7" s="4">
        <f t="shared" si="1"/>
        <v>496466.80522616178</v>
      </c>
      <c r="I7" s="4">
        <f t="shared" si="2"/>
        <v>2684.1081150606951</v>
      </c>
      <c r="J7" s="4">
        <f t="shared" si="3"/>
        <v>100</v>
      </c>
      <c r="K7" s="4">
        <f t="shared" si="9"/>
        <v>2784.1081150606951</v>
      </c>
      <c r="L7" s="4">
        <f t="shared" si="10"/>
        <v>715.49642661835423</v>
      </c>
      <c r="M7" s="4">
        <f t="shared" si="4"/>
        <v>2068.6116884423409</v>
      </c>
      <c r="N7" s="4">
        <f t="shared" si="11"/>
        <v>495751.30879954342</v>
      </c>
      <c r="O7" s="4">
        <f t="shared" si="12"/>
        <v>12455.957489907554</v>
      </c>
    </row>
    <row r="8" spans="2:15" x14ac:dyDescent="0.2">
      <c r="B8" s="7" t="s">
        <v>6</v>
      </c>
      <c r="C8" s="7"/>
      <c r="D8" s="7">
        <v>100</v>
      </c>
      <c r="F8">
        <v>7</v>
      </c>
      <c r="G8" s="2">
        <f t="shared" si="0"/>
        <v>45596</v>
      </c>
      <c r="H8" s="4">
        <f t="shared" si="1"/>
        <v>495751.30879954342</v>
      </c>
      <c r="I8" s="4">
        <f t="shared" si="2"/>
        <v>2684.1081150606951</v>
      </c>
      <c r="J8" s="4">
        <f t="shared" si="3"/>
        <v>100</v>
      </c>
      <c r="K8" s="4">
        <f t="shared" si="9"/>
        <v>2784.1081150606951</v>
      </c>
      <c r="L8" s="4">
        <f t="shared" si="10"/>
        <v>718.47766172926413</v>
      </c>
      <c r="M8" s="4">
        <f t="shared" si="4"/>
        <v>2065.630453331431</v>
      </c>
      <c r="N8" s="4">
        <f t="shared" si="11"/>
        <v>495032.83113781415</v>
      </c>
      <c r="O8" s="4">
        <f t="shared" si="12"/>
        <v>14521.587943238985</v>
      </c>
    </row>
    <row r="9" spans="2:15" x14ac:dyDescent="0.2">
      <c r="F9">
        <v>8</v>
      </c>
      <c r="G9" s="2">
        <f t="shared" si="0"/>
        <v>45626</v>
      </c>
      <c r="H9" s="4">
        <f t="shared" si="1"/>
        <v>495032.83113781415</v>
      </c>
      <c r="I9" s="4">
        <f t="shared" si="2"/>
        <v>2684.1081150606951</v>
      </c>
      <c r="J9" s="4">
        <f t="shared" si="3"/>
        <v>100</v>
      </c>
      <c r="K9" s="4">
        <f t="shared" si="9"/>
        <v>2784.1081150606951</v>
      </c>
      <c r="L9" s="4">
        <f t="shared" si="10"/>
        <v>721.47131865313577</v>
      </c>
      <c r="M9" s="4">
        <f t="shared" si="4"/>
        <v>2062.6367964075594</v>
      </c>
      <c r="N9" s="4">
        <f t="shared" si="11"/>
        <v>494311.35981916101</v>
      </c>
      <c r="O9" s="4">
        <f t="shared" si="12"/>
        <v>16584.224739646543</v>
      </c>
    </row>
    <row r="10" spans="2:15" x14ac:dyDescent="0.2">
      <c r="F10">
        <v>9</v>
      </c>
      <c r="G10" s="2">
        <f t="shared" si="0"/>
        <v>45657</v>
      </c>
      <c r="H10" s="4">
        <f t="shared" si="1"/>
        <v>494311.35981916101</v>
      </c>
      <c r="I10" s="4">
        <f t="shared" si="2"/>
        <v>2684.1081150606951</v>
      </c>
      <c r="J10" s="4">
        <f t="shared" si="3"/>
        <v>100</v>
      </c>
      <c r="K10" s="4">
        <f t="shared" si="9"/>
        <v>2784.1081150606951</v>
      </c>
      <c r="L10" s="4">
        <f t="shared" si="10"/>
        <v>724.47744914752411</v>
      </c>
      <c r="M10" s="4">
        <f t="shared" si="4"/>
        <v>2059.630665913171</v>
      </c>
      <c r="N10" s="4">
        <f t="shared" si="11"/>
        <v>493586.88237001351</v>
      </c>
      <c r="O10" s="4">
        <f t="shared" si="12"/>
        <v>18643.855405559712</v>
      </c>
    </row>
    <row r="11" spans="2:15" x14ac:dyDescent="0.2">
      <c r="B11" s="5" t="s">
        <v>13</v>
      </c>
      <c r="F11">
        <v>10</v>
      </c>
      <c r="G11" s="2">
        <f t="shared" si="0"/>
        <v>45688</v>
      </c>
      <c r="H11" s="4">
        <f t="shared" si="1"/>
        <v>493586.88237001351</v>
      </c>
      <c r="I11" s="4">
        <f t="shared" si="2"/>
        <v>2684.1081150606951</v>
      </c>
      <c r="J11" s="4">
        <f t="shared" si="3"/>
        <v>100</v>
      </c>
      <c r="K11" s="4">
        <f t="shared" si="9"/>
        <v>2784.1081150606951</v>
      </c>
      <c r="L11" s="4">
        <f t="shared" si="10"/>
        <v>727.4961051856385</v>
      </c>
      <c r="M11" s="4">
        <f t="shared" si="4"/>
        <v>2056.6120098750566</v>
      </c>
      <c r="N11" s="4">
        <f t="shared" si="11"/>
        <v>492859.38626482786</v>
      </c>
      <c r="O11" s="4">
        <f t="shared" si="12"/>
        <v>20700.46741543477</v>
      </c>
    </row>
    <row r="12" spans="2:15" x14ac:dyDescent="0.2">
      <c r="B12" s="8" t="s">
        <v>12</v>
      </c>
      <c r="C12" s="8"/>
      <c r="D12" s="9">
        <f>-PMT(D4/D6, D13, D3)</f>
        <v>2684.1081150606951</v>
      </c>
      <c r="E12" s="6"/>
      <c r="F12">
        <v>11</v>
      </c>
      <c r="G12" s="2">
        <f t="shared" si="0"/>
        <v>45716</v>
      </c>
      <c r="H12" s="4">
        <f t="shared" si="1"/>
        <v>492859.38626482786</v>
      </c>
      <c r="I12" s="4">
        <f t="shared" si="2"/>
        <v>2684.1081150606951</v>
      </c>
      <c r="J12" s="4">
        <f t="shared" si="3"/>
        <v>100</v>
      </c>
      <c r="K12" s="4">
        <f t="shared" si="9"/>
        <v>2784.1081150606951</v>
      </c>
      <c r="L12" s="4">
        <f t="shared" si="10"/>
        <v>730.52733895724532</v>
      </c>
      <c r="M12" s="4">
        <f t="shared" si="4"/>
        <v>2053.5807761034498</v>
      </c>
      <c r="N12" s="4">
        <f t="shared" si="11"/>
        <v>492128.85892587062</v>
      </c>
      <c r="O12" s="4">
        <f t="shared" si="12"/>
        <v>22754.048191538219</v>
      </c>
    </row>
    <row r="13" spans="2:15" x14ac:dyDescent="0.2">
      <c r="B13" s="8" t="s">
        <v>11</v>
      </c>
      <c r="C13" s="8"/>
      <c r="D13" s="8">
        <f>D5 * D6</f>
        <v>360</v>
      </c>
      <c r="F13">
        <v>12</v>
      </c>
      <c r="G13" s="2">
        <f t="shared" si="0"/>
        <v>45747</v>
      </c>
      <c r="H13" s="4">
        <f t="shared" si="1"/>
        <v>492128.85892587062</v>
      </c>
      <c r="I13" s="4">
        <f t="shared" si="2"/>
        <v>2684.1081150606951</v>
      </c>
      <c r="J13" s="4">
        <f t="shared" si="3"/>
        <v>100</v>
      </c>
      <c r="K13" s="4">
        <f t="shared" si="9"/>
        <v>2784.1081150606951</v>
      </c>
      <c r="L13" s="4">
        <f t="shared" si="10"/>
        <v>733.57120286956751</v>
      </c>
      <c r="M13" s="4">
        <f t="shared" si="4"/>
        <v>2050.5369121911276</v>
      </c>
      <c r="N13" s="4">
        <f t="shared" si="11"/>
        <v>491395.28772300103</v>
      </c>
      <c r="O13" s="4">
        <f t="shared" si="12"/>
        <v>24804.585103729347</v>
      </c>
    </row>
    <row r="14" spans="2:15" x14ac:dyDescent="0.2">
      <c r="B14" s="8" t="s">
        <v>10</v>
      </c>
      <c r="C14" s="8"/>
      <c r="D14" s="8">
        <f>COUNTIF(N:N, "&gt;0") + 1</f>
        <v>332</v>
      </c>
      <c r="F14">
        <v>13</v>
      </c>
      <c r="G14" s="2">
        <f t="shared" si="0"/>
        <v>45777</v>
      </c>
      <c r="H14" s="4">
        <f t="shared" si="1"/>
        <v>491395.28772300103</v>
      </c>
      <c r="I14" s="4">
        <f t="shared" si="2"/>
        <v>2684.1081150606951</v>
      </c>
      <c r="J14" s="4">
        <f t="shared" si="3"/>
        <v>100</v>
      </c>
      <c r="K14" s="4">
        <f t="shared" si="9"/>
        <v>2784.1081150606951</v>
      </c>
      <c r="L14" s="4">
        <f t="shared" si="10"/>
        <v>736.62774954819065</v>
      </c>
      <c r="M14" s="4">
        <f t="shared" si="4"/>
        <v>2047.4803655125045</v>
      </c>
      <c r="N14" s="4">
        <f t="shared" si="11"/>
        <v>490658.65997345286</v>
      </c>
      <c r="O14" s="4">
        <f t="shared" si="12"/>
        <v>26852.06546924185</v>
      </c>
    </row>
    <row r="15" spans="2:15" x14ac:dyDescent="0.2">
      <c r="B15" s="8" t="s">
        <v>9</v>
      </c>
      <c r="C15" s="8"/>
      <c r="D15" s="10">
        <f>(D13-D14)/D6</f>
        <v>2.3333333333333335</v>
      </c>
      <c r="F15">
        <v>14</v>
      </c>
      <c r="G15" s="2">
        <f t="shared" si="0"/>
        <v>45808</v>
      </c>
      <c r="H15" s="4">
        <f t="shared" si="1"/>
        <v>490658.65997345286</v>
      </c>
      <c r="I15" s="4">
        <f t="shared" si="2"/>
        <v>2684.1081150606951</v>
      </c>
      <c r="J15" s="4">
        <f t="shared" si="3"/>
        <v>100</v>
      </c>
      <c r="K15" s="4">
        <f t="shared" si="9"/>
        <v>2784.1081150606951</v>
      </c>
      <c r="L15" s="4">
        <f t="shared" si="10"/>
        <v>739.69703183797469</v>
      </c>
      <c r="M15" s="4">
        <f t="shared" si="4"/>
        <v>2044.4110832227204</v>
      </c>
      <c r="N15" s="4">
        <f t="shared" si="11"/>
        <v>489918.96294161491</v>
      </c>
      <c r="O15" s="4">
        <f t="shared" si="12"/>
        <v>28896.47655246457</v>
      </c>
    </row>
    <row r="16" spans="2:15" x14ac:dyDescent="0.2">
      <c r="B16" s="8" t="s">
        <v>8</v>
      </c>
      <c r="C16" s="8"/>
      <c r="D16" s="11">
        <f>D8 * D14</f>
        <v>33200</v>
      </c>
      <c r="F16">
        <v>15</v>
      </c>
      <c r="G16" s="2">
        <f t="shared" si="0"/>
        <v>45838</v>
      </c>
      <c r="H16" s="4">
        <f t="shared" si="1"/>
        <v>489918.96294161491</v>
      </c>
      <c r="I16" s="4">
        <f t="shared" si="2"/>
        <v>2684.1081150606951</v>
      </c>
      <c r="J16" s="4">
        <f t="shared" si="3"/>
        <v>100</v>
      </c>
      <c r="K16" s="4">
        <f t="shared" si="9"/>
        <v>2784.1081150606951</v>
      </c>
      <c r="L16" s="4">
        <f t="shared" si="10"/>
        <v>742.77910280396623</v>
      </c>
      <c r="M16" s="4">
        <f t="shared" si="4"/>
        <v>2041.3290122567289</v>
      </c>
      <c r="N16" s="4">
        <f t="shared" si="11"/>
        <v>489176.18383881095</v>
      </c>
      <c r="O16" s="4">
        <f t="shared" si="12"/>
        <v>30937.8055647213</v>
      </c>
    </row>
    <row r="17" spans="2:15" x14ac:dyDescent="0.2">
      <c r="B17" s="8" t="s">
        <v>7</v>
      </c>
      <c r="C17" s="8"/>
      <c r="D17" s="11">
        <f>MAX(O:O)</f>
        <v>423680.07557810156</v>
      </c>
      <c r="F17">
        <v>16</v>
      </c>
      <c r="G17" s="2">
        <f t="shared" si="0"/>
        <v>45869</v>
      </c>
      <c r="H17" s="4">
        <f t="shared" si="1"/>
        <v>489176.18383881095</v>
      </c>
      <c r="I17" s="4">
        <f t="shared" si="2"/>
        <v>2684.1081150606951</v>
      </c>
      <c r="J17" s="4">
        <f t="shared" si="3"/>
        <v>100</v>
      </c>
      <c r="K17" s="4">
        <f t="shared" si="9"/>
        <v>2784.1081150606951</v>
      </c>
      <c r="L17" s="4">
        <f t="shared" si="10"/>
        <v>745.87401573231614</v>
      </c>
      <c r="M17" s="4">
        <f t="shared" si="4"/>
        <v>2038.234099328379</v>
      </c>
      <c r="N17" s="4">
        <f t="shared" si="11"/>
        <v>488430.30982307863</v>
      </c>
      <c r="O17" s="4">
        <f t="shared" si="12"/>
        <v>32976.039664049677</v>
      </c>
    </row>
    <row r="18" spans="2:15" x14ac:dyDescent="0.2">
      <c r="F18">
        <v>17</v>
      </c>
      <c r="G18" s="2">
        <f t="shared" si="0"/>
        <v>45900</v>
      </c>
      <c r="H18" s="4">
        <f t="shared" si="1"/>
        <v>488430.30982307863</v>
      </c>
      <c r="I18" s="4">
        <f t="shared" si="2"/>
        <v>2684.1081150606951</v>
      </c>
      <c r="J18" s="4">
        <f t="shared" si="3"/>
        <v>100</v>
      </c>
      <c r="K18" s="4">
        <f t="shared" si="9"/>
        <v>2784.1081150606951</v>
      </c>
      <c r="L18" s="4">
        <f t="shared" si="10"/>
        <v>748.98182413120071</v>
      </c>
      <c r="M18" s="4">
        <f t="shared" si="4"/>
        <v>2035.1262909294944</v>
      </c>
      <c r="N18" s="4">
        <f t="shared" si="11"/>
        <v>487681.32799894741</v>
      </c>
      <c r="O18" s="4">
        <f t="shared" si="12"/>
        <v>35011.165954979173</v>
      </c>
    </row>
    <row r="19" spans="2:15" x14ac:dyDescent="0.2">
      <c r="F19">
        <v>18</v>
      </c>
      <c r="G19" s="2">
        <f t="shared" si="0"/>
        <v>45930</v>
      </c>
      <c r="H19" s="4">
        <f t="shared" si="1"/>
        <v>487681.32799894741</v>
      </c>
      <c r="I19" s="4">
        <f t="shared" si="2"/>
        <v>2684.1081150606951</v>
      </c>
      <c r="J19" s="4">
        <f t="shared" si="3"/>
        <v>100</v>
      </c>
      <c r="K19" s="4">
        <f t="shared" si="9"/>
        <v>2784.1081150606951</v>
      </c>
      <c r="L19" s="4">
        <f t="shared" si="10"/>
        <v>752.10258173174748</v>
      </c>
      <c r="M19" s="4">
        <f t="shared" si="4"/>
        <v>2032.0055333289476</v>
      </c>
      <c r="N19" s="4">
        <f t="shared" si="11"/>
        <v>486929.22541721567</v>
      </c>
      <c r="O19" s="4">
        <f t="shared" si="12"/>
        <v>37043.171488308122</v>
      </c>
    </row>
    <row r="20" spans="2:15" x14ac:dyDescent="0.2">
      <c r="F20">
        <v>19</v>
      </c>
      <c r="G20" s="2">
        <f t="shared" si="0"/>
        <v>45961</v>
      </c>
      <c r="H20" s="4">
        <f t="shared" si="1"/>
        <v>486929.22541721567</v>
      </c>
      <c r="I20" s="4">
        <f t="shared" si="2"/>
        <v>2684.1081150606951</v>
      </c>
      <c r="J20" s="4">
        <f t="shared" si="3"/>
        <v>100</v>
      </c>
      <c r="K20" s="4">
        <f t="shared" si="9"/>
        <v>2784.1081150606951</v>
      </c>
      <c r="L20" s="4">
        <f t="shared" si="10"/>
        <v>755.23634248896292</v>
      </c>
      <c r="M20" s="4">
        <f t="shared" si="4"/>
        <v>2028.8717725717322</v>
      </c>
      <c r="N20" s="4">
        <f t="shared" si="11"/>
        <v>486173.98907472671</v>
      </c>
      <c r="O20" s="4">
        <f t="shared" si="12"/>
        <v>39072.043260879851</v>
      </c>
    </row>
    <row r="21" spans="2:15" x14ac:dyDescent="0.2">
      <c r="F21">
        <v>20</v>
      </c>
      <c r="G21" s="2">
        <f t="shared" si="0"/>
        <v>45991</v>
      </c>
      <c r="H21" s="4">
        <f t="shared" si="1"/>
        <v>486173.98907472671</v>
      </c>
      <c r="I21" s="4">
        <f t="shared" si="2"/>
        <v>2684.1081150606951</v>
      </c>
      <c r="J21" s="4">
        <f t="shared" si="3"/>
        <v>100</v>
      </c>
      <c r="K21" s="4">
        <f t="shared" si="9"/>
        <v>2784.1081150606951</v>
      </c>
      <c r="L21" s="4">
        <f t="shared" si="10"/>
        <v>758.38316058266719</v>
      </c>
      <c r="M21" s="4">
        <f t="shared" si="4"/>
        <v>2025.7249544780279</v>
      </c>
      <c r="N21" s="4">
        <f t="shared" si="11"/>
        <v>485415.60591414402</v>
      </c>
      <c r="O21" s="4">
        <f t="shared" si="12"/>
        <v>41097.768215357879</v>
      </c>
    </row>
    <row r="22" spans="2:15" x14ac:dyDescent="0.2">
      <c r="F22">
        <v>21</v>
      </c>
      <c r="G22" s="2">
        <f t="shared" si="0"/>
        <v>46022</v>
      </c>
      <c r="H22" s="4">
        <f t="shared" si="1"/>
        <v>485415.60591414402</v>
      </c>
      <c r="I22" s="4">
        <f t="shared" si="2"/>
        <v>2684.1081150606951</v>
      </c>
      <c r="J22" s="4">
        <f t="shared" si="3"/>
        <v>100</v>
      </c>
      <c r="K22" s="4">
        <f t="shared" si="9"/>
        <v>2784.1081150606951</v>
      </c>
      <c r="L22" s="4">
        <f t="shared" si="10"/>
        <v>761.54309041842839</v>
      </c>
      <c r="M22" s="4">
        <f t="shared" si="4"/>
        <v>2022.5650246422667</v>
      </c>
      <c r="N22" s="4">
        <f t="shared" si="11"/>
        <v>484654.06282372557</v>
      </c>
      <c r="O22" s="4">
        <f t="shared" si="12"/>
        <v>43120.333240000145</v>
      </c>
    </row>
    <row r="23" spans="2:15" x14ac:dyDescent="0.2">
      <c r="F23">
        <v>22</v>
      </c>
      <c r="G23" s="2">
        <f t="shared" si="0"/>
        <v>46053</v>
      </c>
      <c r="H23" s="4">
        <f t="shared" si="1"/>
        <v>484654.06282372557</v>
      </c>
      <c r="I23" s="4">
        <f t="shared" si="2"/>
        <v>2684.1081150606951</v>
      </c>
      <c r="J23" s="4">
        <f t="shared" si="3"/>
        <v>100</v>
      </c>
      <c r="K23" s="4">
        <f t="shared" si="9"/>
        <v>2784.1081150606951</v>
      </c>
      <c r="L23" s="4">
        <f t="shared" si="10"/>
        <v>764.71618662850506</v>
      </c>
      <c r="M23" s="4">
        <f t="shared" si="4"/>
        <v>2019.3919284321901</v>
      </c>
      <c r="N23" s="4">
        <f t="shared" si="11"/>
        <v>483889.34663709707</v>
      </c>
      <c r="O23" s="4">
        <f t="shared" si="12"/>
        <v>45139.725168432335</v>
      </c>
    </row>
    <row r="24" spans="2:15" x14ac:dyDescent="0.2">
      <c r="F24">
        <v>23</v>
      </c>
      <c r="G24" s="2">
        <f t="shared" si="0"/>
        <v>46081</v>
      </c>
      <c r="H24" s="4">
        <f t="shared" si="1"/>
        <v>483889.34663709707</v>
      </c>
      <c r="I24" s="4">
        <f t="shared" si="2"/>
        <v>2684.1081150606951</v>
      </c>
      <c r="J24" s="4">
        <f t="shared" si="3"/>
        <v>100</v>
      </c>
      <c r="K24" s="4">
        <f t="shared" si="9"/>
        <v>2784.1081150606951</v>
      </c>
      <c r="L24" s="4">
        <f t="shared" si="10"/>
        <v>767.90250407279041</v>
      </c>
      <c r="M24" s="4">
        <f t="shared" si="4"/>
        <v>2016.2056109879047</v>
      </c>
      <c r="N24" s="4">
        <f t="shared" si="11"/>
        <v>483121.44413302426</v>
      </c>
      <c r="O24" s="4">
        <f t="shared" si="12"/>
        <v>47155.93077942024</v>
      </c>
    </row>
    <row r="25" spans="2:15" x14ac:dyDescent="0.2">
      <c r="F25">
        <v>24</v>
      </c>
      <c r="G25" s="2">
        <f t="shared" si="0"/>
        <v>46112</v>
      </c>
      <c r="H25" s="4">
        <f t="shared" si="1"/>
        <v>483121.44413302426</v>
      </c>
      <c r="I25" s="4">
        <f t="shared" si="2"/>
        <v>2684.1081150606951</v>
      </c>
      <c r="J25" s="4">
        <f t="shared" si="3"/>
        <v>100</v>
      </c>
      <c r="K25" s="4">
        <f t="shared" si="9"/>
        <v>2784.1081150606951</v>
      </c>
      <c r="L25" s="4">
        <f t="shared" si="10"/>
        <v>771.10209783976075</v>
      </c>
      <c r="M25" s="4">
        <f t="shared" si="4"/>
        <v>2013.0060172209344</v>
      </c>
      <c r="N25" s="4">
        <f t="shared" si="11"/>
        <v>482350.3420351845</v>
      </c>
      <c r="O25" s="4">
        <f t="shared" si="12"/>
        <v>49168.936796641174</v>
      </c>
    </row>
    <row r="26" spans="2:15" x14ac:dyDescent="0.2">
      <c r="F26">
        <v>25</v>
      </c>
      <c r="G26" s="2">
        <f t="shared" si="0"/>
        <v>46142</v>
      </c>
      <c r="H26" s="4">
        <f t="shared" si="1"/>
        <v>482350.3420351845</v>
      </c>
      <c r="I26" s="4">
        <f t="shared" si="2"/>
        <v>2684.1081150606951</v>
      </c>
      <c r="J26" s="4">
        <f t="shared" si="3"/>
        <v>100</v>
      </c>
      <c r="K26" s="4">
        <f t="shared" si="9"/>
        <v>2784.1081150606951</v>
      </c>
      <c r="L26" s="4">
        <f t="shared" si="10"/>
        <v>774.31502324742632</v>
      </c>
      <c r="M26" s="4">
        <f t="shared" si="4"/>
        <v>2009.7930918132688</v>
      </c>
      <c r="N26" s="4">
        <f t="shared" si="11"/>
        <v>481576.02701193705</v>
      </c>
      <c r="O26" s="4">
        <f t="shared" si="12"/>
        <v>51178.729888454443</v>
      </c>
    </row>
    <row r="27" spans="2:15" x14ac:dyDescent="0.2">
      <c r="F27">
        <v>26</v>
      </c>
      <c r="G27" s="2">
        <f t="shared" si="0"/>
        <v>46173</v>
      </c>
      <c r="H27" s="4">
        <f t="shared" si="1"/>
        <v>481576.02701193705</v>
      </c>
      <c r="I27" s="4">
        <f t="shared" si="2"/>
        <v>2684.1081150606951</v>
      </c>
      <c r="J27" s="4">
        <f t="shared" si="3"/>
        <v>100</v>
      </c>
      <c r="K27" s="4">
        <f t="shared" si="9"/>
        <v>2784.1081150606951</v>
      </c>
      <c r="L27" s="4">
        <f t="shared" si="10"/>
        <v>777.54133584429042</v>
      </c>
      <c r="M27" s="4">
        <f t="shared" si="4"/>
        <v>2006.5667792164047</v>
      </c>
      <c r="N27" s="4">
        <f t="shared" si="11"/>
        <v>480798.48567609274</v>
      </c>
      <c r="O27" s="4">
        <f t="shared" si="12"/>
        <v>53185.296667670846</v>
      </c>
    </row>
    <row r="28" spans="2:15" x14ac:dyDescent="0.2">
      <c r="F28">
        <v>27</v>
      </c>
      <c r="G28" s="2">
        <f t="shared" si="0"/>
        <v>46203</v>
      </c>
      <c r="H28" s="4">
        <f t="shared" si="1"/>
        <v>480798.48567609274</v>
      </c>
      <c r="I28" s="4">
        <f t="shared" si="2"/>
        <v>2684.1081150606951</v>
      </c>
      <c r="J28" s="4">
        <f t="shared" si="3"/>
        <v>100</v>
      </c>
      <c r="K28" s="4">
        <f t="shared" si="9"/>
        <v>2784.1081150606951</v>
      </c>
      <c r="L28" s="4">
        <f t="shared" si="10"/>
        <v>780.78109141030859</v>
      </c>
      <c r="M28" s="4">
        <f t="shared" si="4"/>
        <v>2003.3270236503865</v>
      </c>
      <c r="N28" s="4">
        <f t="shared" si="11"/>
        <v>480017.70458468242</v>
      </c>
      <c r="O28" s="4">
        <f t="shared" si="12"/>
        <v>55188.623691321234</v>
      </c>
    </row>
    <row r="29" spans="2:15" x14ac:dyDescent="0.2">
      <c r="F29">
        <v>28</v>
      </c>
      <c r="G29" s="2">
        <f t="shared" si="0"/>
        <v>46234</v>
      </c>
      <c r="H29" s="4">
        <f t="shared" si="1"/>
        <v>480017.70458468242</v>
      </c>
      <c r="I29" s="4">
        <f t="shared" si="2"/>
        <v>2684.1081150606951</v>
      </c>
      <c r="J29" s="4">
        <f t="shared" si="3"/>
        <v>100</v>
      </c>
      <c r="K29" s="4">
        <f t="shared" si="9"/>
        <v>2784.1081150606951</v>
      </c>
      <c r="L29" s="4">
        <f t="shared" si="10"/>
        <v>784.03434595785166</v>
      </c>
      <c r="M29" s="4">
        <f t="shared" si="4"/>
        <v>2000.0737691028435</v>
      </c>
      <c r="N29" s="4">
        <f t="shared" si="11"/>
        <v>479233.67023872456</v>
      </c>
      <c r="O29" s="4">
        <f t="shared" si="12"/>
        <v>57188.697460424075</v>
      </c>
    </row>
    <row r="30" spans="2:15" x14ac:dyDescent="0.2">
      <c r="F30">
        <v>29</v>
      </c>
      <c r="G30" s="2">
        <f t="shared" si="0"/>
        <v>46265</v>
      </c>
      <c r="H30" s="4">
        <f t="shared" si="1"/>
        <v>479233.67023872456</v>
      </c>
      <c r="I30" s="4">
        <f t="shared" si="2"/>
        <v>2684.1081150606951</v>
      </c>
      <c r="J30" s="4">
        <f t="shared" si="3"/>
        <v>100</v>
      </c>
      <c r="K30" s="4">
        <f t="shared" si="9"/>
        <v>2784.1081150606951</v>
      </c>
      <c r="L30" s="4">
        <f t="shared" si="10"/>
        <v>787.30115573267608</v>
      </c>
      <c r="M30" s="4">
        <f t="shared" si="4"/>
        <v>1996.806959328019</v>
      </c>
      <c r="N30" s="4">
        <f t="shared" si="11"/>
        <v>478446.36908299191</v>
      </c>
      <c r="O30" s="4">
        <f t="shared" si="12"/>
        <v>59185.504419752091</v>
      </c>
    </row>
    <row r="31" spans="2:15" x14ac:dyDescent="0.2">
      <c r="F31">
        <v>30</v>
      </c>
      <c r="G31" s="2">
        <f t="shared" si="0"/>
        <v>46295</v>
      </c>
      <c r="H31" s="4">
        <f t="shared" si="1"/>
        <v>478446.36908299191</v>
      </c>
      <c r="I31" s="4">
        <f t="shared" si="2"/>
        <v>2684.1081150606951</v>
      </c>
      <c r="J31" s="4">
        <f t="shared" si="3"/>
        <v>100</v>
      </c>
      <c r="K31" s="4">
        <f t="shared" si="9"/>
        <v>2784.1081150606951</v>
      </c>
      <c r="L31" s="4">
        <f t="shared" si="10"/>
        <v>790.58157721489533</v>
      </c>
      <c r="M31" s="4">
        <f t="shared" si="4"/>
        <v>1993.5265378457998</v>
      </c>
      <c r="N31" s="4">
        <f t="shared" si="11"/>
        <v>477655.78750577703</v>
      </c>
      <c r="O31" s="4">
        <f t="shared" si="12"/>
        <v>61179.03095759789</v>
      </c>
    </row>
    <row r="32" spans="2:15" x14ac:dyDescent="0.2">
      <c r="F32">
        <v>31</v>
      </c>
      <c r="G32" s="2">
        <f t="shared" si="0"/>
        <v>46326</v>
      </c>
      <c r="H32" s="4">
        <f t="shared" si="1"/>
        <v>477655.78750577703</v>
      </c>
      <c r="I32" s="4">
        <f t="shared" si="2"/>
        <v>2684.1081150606951</v>
      </c>
      <c r="J32" s="4">
        <f t="shared" si="3"/>
        <v>100</v>
      </c>
      <c r="K32" s="4">
        <f t="shared" si="9"/>
        <v>2784.1081150606951</v>
      </c>
      <c r="L32" s="4">
        <f t="shared" si="10"/>
        <v>793.87566711995737</v>
      </c>
      <c r="M32" s="4">
        <f t="shared" si="4"/>
        <v>1990.2324479407378</v>
      </c>
      <c r="N32" s="4">
        <f t="shared" si="11"/>
        <v>476861.91183865705</v>
      </c>
      <c r="O32" s="4">
        <f t="shared" si="12"/>
        <v>63169.26340553863</v>
      </c>
    </row>
    <row r="33" spans="6:15" x14ac:dyDescent="0.2">
      <c r="F33">
        <v>32</v>
      </c>
      <c r="G33" s="2">
        <f t="shared" si="0"/>
        <v>46356</v>
      </c>
      <c r="H33" s="4">
        <f t="shared" si="1"/>
        <v>476861.91183865705</v>
      </c>
      <c r="I33" s="4">
        <f t="shared" si="2"/>
        <v>2684.1081150606951</v>
      </c>
      <c r="J33" s="4">
        <f t="shared" si="3"/>
        <v>100</v>
      </c>
      <c r="K33" s="4">
        <f t="shared" si="9"/>
        <v>2784.1081150606951</v>
      </c>
      <c r="L33" s="4">
        <f t="shared" si="10"/>
        <v>797.18348239962393</v>
      </c>
      <c r="M33" s="4">
        <f t="shared" si="4"/>
        <v>1986.9246326610712</v>
      </c>
      <c r="N33" s="4">
        <f t="shared" si="11"/>
        <v>476064.72835625743</v>
      </c>
      <c r="O33" s="4">
        <f t="shared" si="12"/>
        <v>65156.188038199703</v>
      </c>
    </row>
    <row r="34" spans="6:15" x14ac:dyDescent="0.2">
      <c r="F34">
        <v>33</v>
      </c>
      <c r="G34" s="2">
        <f t="shared" si="0"/>
        <v>46387</v>
      </c>
      <c r="H34" s="4">
        <f t="shared" si="1"/>
        <v>476064.72835625743</v>
      </c>
      <c r="I34" s="4">
        <f t="shared" si="2"/>
        <v>2684.1081150606951</v>
      </c>
      <c r="J34" s="4">
        <f t="shared" si="3"/>
        <v>100</v>
      </c>
      <c r="K34" s="4">
        <f t="shared" si="9"/>
        <v>2784.1081150606951</v>
      </c>
      <c r="L34" s="4">
        <f t="shared" si="10"/>
        <v>800.50508024295573</v>
      </c>
      <c r="M34" s="4">
        <f t="shared" si="4"/>
        <v>1983.6030348177394</v>
      </c>
      <c r="N34" s="4">
        <f t="shared" si="11"/>
        <v>475264.2232760145</v>
      </c>
      <c r="O34" s="4">
        <f t="shared" si="12"/>
        <v>67139.791073017448</v>
      </c>
    </row>
    <row r="35" spans="6:15" x14ac:dyDescent="0.2">
      <c r="F35">
        <v>34</v>
      </c>
      <c r="G35" s="2">
        <f t="shared" si="0"/>
        <v>46418</v>
      </c>
      <c r="H35" s="4">
        <f t="shared" si="1"/>
        <v>475264.2232760145</v>
      </c>
      <c r="I35" s="4">
        <f t="shared" si="2"/>
        <v>2684.1081150606951</v>
      </c>
      <c r="J35" s="4">
        <f t="shared" si="3"/>
        <v>100</v>
      </c>
      <c r="K35" s="4">
        <f t="shared" si="9"/>
        <v>2784.1081150606951</v>
      </c>
      <c r="L35" s="4">
        <f t="shared" si="10"/>
        <v>803.84051807730134</v>
      </c>
      <c r="M35" s="4">
        <f t="shared" si="4"/>
        <v>1980.2675969833938</v>
      </c>
      <c r="N35" s="4">
        <f t="shared" si="11"/>
        <v>474460.38275793719</v>
      </c>
      <c r="O35" s="4">
        <f t="shared" si="12"/>
        <v>69120.058670000843</v>
      </c>
    </row>
    <row r="36" spans="6:15" x14ac:dyDescent="0.2">
      <c r="F36">
        <v>35</v>
      </c>
      <c r="G36" s="2">
        <f t="shared" si="0"/>
        <v>46446</v>
      </c>
      <c r="H36" s="4">
        <f t="shared" si="1"/>
        <v>474460.38275793719</v>
      </c>
      <c r="I36" s="4">
        <f t="shared" si="2"/>
        <v>2684.1081150606951</v>
      </c>
      <c r="J36" s="4">
        <f t="shared" si="3"/>
        <v>100</v>
      </c>
      <c r="K36" s="4">
        <f t="shared" si="9"/>
        <v>2784.1081150606951</v>
      </c>
      <c r="L36" s="4">
        <f t="shared" si="10"/>
        <v>807.18985356929011</v>
      </c>
      <c r="M36" s="4">
        <f t="shared" si="4"/>
        <v>1976.918261491405</v>
      </c>
      <c r="N36" s="4">
        <f t="shared" si="11"/>
        <v>473653.19290436787</v>
      </c>
      <c r="O36" s="4">
        <f t="shared" si="12"/>
        <v>71096.976931492245</v>
      </c>
    </row>
    <row r="37" spans="6:15" x14ac:dyDescent="0.2">
      <c r="F37">
        <v>36</v>
      </c>
      <c r="G37" s="2">
        <f t="shared" si="0"/>
        <v>46477</v>
      </c>
      <c r="H37" s="4">
        <f t="shared" si="1"/>
        <v>473653.19290436787</v>
      </c>
      <c r="I37" s="4">
        <f t="shared" si="2"/>
        <v>2684.1081150606951</v>
      </c>
      <c r="J37" s="4">
        <f t="shared" si="3"/>
        <v>100</v>
      </c>
      <c r="K37" s="4">
        <f t="shared" si="9"/>
        <v>2784.1081150606951</v>
      </c>
      <c r="L37" s="4">
        <f t="shared" si="10"/>
        <v>810.55314462582896</v>
      </c>
      <c r="M37" s="4">
        <f t="shared" si="4"/>
        <v>1973.5549704348662</v>
      </c>
      <c r="N37" s="4">
        <f t="shared" si="11"/>
        <v>472842.63975974201</v>
      </c>
      <c r="O37" s="4">
        <f t="shared" si="12"/>
        <v>73070.531901927112</v>
      </c>
    </row>
    <row r="38" spans="6:15" x14ac:dyDescent="0.2">
      <c r="F38">
        <v>37</v>
      </c>
      <c r="G38" s="2">
        <f t="shared" si="0"/>
        <v>46507</v>
      </c>
      <c r="H38" s="4">
        <f t="shared" si="1"/>
        <v>472842.63975974201</v>
      </c>
      <c r="I38" s="4">
        <f t="shared" si="2"/>
        <v>2684.1081150606951</v>
      </c>
      <c r="J38" s="4">
        <f t="shared" si="3"/>
        <v>100</v>
      </c>
      <c r="K38" s="4">
        <f t="shared" si="9"/>
        <v>2784.1081150606951</v>
      </c>
      <c r="L38" s="4">
        <f t="shared" si="10"/>
        <v>813.93044939510332</v>
      </c>
      <c r="M38" s="4">
        <f t="shared" si="4"/>
        <v>1970.1776656655918</v>
      </c>
      <c r="N38" s="4">
        <f t="shared" si="11"/>
        <v>472028.70931034692</v>
      </c>
      <c r="O38" s="4">
        <f t="shared" si="12"/>
        <v>75040.709567592698</v>
      </c>
    </row>
    <row r="39" spans="6:15" x14ac:dyDescent="0.2">
      <c r="F39">
        <v>38</v>
      </c>
      <c r="G39" s="2">
        <f t="shared" si="0"/>
        <v>46538</v>
      </c>
      <c r="H39" s="4">
        <f t="shared" si="1"/>
        <v>472028.70931034692</v>
      </c>
      <c r="I39" s="4">
        <f t="shared" si="2"/>
        <v>2684.1081150606951</v>
      </c>
      <c r="J39" s="4">
        <f t="shared" si="3"/>
        <v>100</v>
      </c>
      <c r="K39" s="4">
        <f t="shared" si="9"/>
        <v>2784.1081150606951</v>
      </c>
      <c r="L39" s="4">
        <f t="shared" si="10"/>
        <v>817.32182626758276</v>
      </c>
      <c r="M39" s="4">
        <f t="shared" si="4"/>
        <v>1966.7862887931124</v>
      </c>
      <c r="N39" s="4">
        <f t="shared" si="11"/>
        <v>471211.38748407934</v>
      </c>
      <c r="O39" s="4">
        <f t="shared" si="12"/>
        <v>77007.495856385809</v>
      </c>
    </row>
    <row r="40" spans="6:15" x14ac:dyDescent="0.2">
      <c r="F40">
        <v>39</v>
      </c>
      <c r="G40" s="2">
        <f t="shared" si="0"/>
        <v>46568</v>
      </c>
      <c r="H40" s="4">
        <f t="shared" si="1"/>
        <v>471211.38748407934</v>
      </c>
      <c r="I40" s="4">
        <f t="shared" si="2"/>
        <v>2684.1081150606951</v>
      </c>
      <c r="J40" s="4">
        <f t="shared" si="3"/>
        <v>100</v>
      </c>
      <c r="K40" s="4">
        <f t="shared" si="9"/>
        <v>2784.1081150606951</v>
      </c>
      <c r="L40" s="4">
        <f t="shared" si="10"/>
        <v>820.72733387703101</v>
      </c>
      <c r="M40" s="4">
        <f t="shared" si="4"/>
        <v>1963.3807811836641</v>
      </c>
      <c r="N40" s="4">
        <f t="shared" si="11"/>
        <v>470390.66015020234</v>
      </c>
      <c r="O40" s="4">
        <f t="shared" si="12"/>
        <v>78970.876637569469</v>
      </c>
    </row>
    <row r="41" spans="6:15" x14ac:dyDescent="0.2">
      <c r="F41">
        <v>40</v>
      </c>
      <c r="G41" s="2">
        <f t="shared" si="0"/>
        <v>46599</v>
      </c>
      <c r="H41" s="4">
        <f t="shared" si="1"/>
        <v>470390.66015020234</v>
      </c>
      <c r="I41" s="4">
        <f t="shared" si="2"/>
        <v>2684.1081150606951</v>
      </c>
      <c r="J41" s="4">
        <f t="shared" si="3"/>
        <v>100</v>
      </c>
      <c r="K41" s="4">
        <f t="shared" si="9"/>
        <v>2784.1081150606951</v>
      </c>
      <c r="L41" s="4">
        <f t="shared" si="10"/>
        <v>824.14703110151845</v>
      </c>
      <c r="M41" s="4">
        <f t="shared" si="4"/>
        <v>1959.9610839591767</v>
      </c>
      <c r="N41" s="4">
        <f t="shared" si="11"/>
        <v>469566.51311910083</v>
      </c>
      <c r="O41" s="4">
        <f t="shared" si="12"/>
        <v>80930.837721528645</v>
      </c>
    </row>
    <row r="42" spans="6:15" x14ac:dyDescent="0.2">
      <c r="F42">
        <v>41</v>
      </c>
      <c r="G42" s="2">
        <f t="shared" si="0"/>
        <v>46630</v>
      </c>
      <c r="H42" s="4">
        <f t="shared" si="1"/>
        <v>469566.51311910083</v>
      </c>
      <c r="I42" s="4">
        <f t="shared" si="2"/>
        <v>2684.1081150606951</v>
      </c>
      <c r="J42" s="4">
        <f t="shared" si="3"/>
        <v>100</v>
      </c>
      <c r="K42" s="4">
        <f t="shared" si="9"/>
        <v>2784.1081150606951</v>
      </c>
      <c r="L42" s="4">
        <f t="shared" si="10"/>
        <v>827.58097706444164</v>
      </c>
      <c r="M42" s="4">
        <f t="shared" si="4"/>
        <v>1956.5271379962535</v>
      </c>
      <c r="N42" s="4">
        <f t="shared" si="11"/>
        <v>468738.93214203638</v>
      </c>
      <c r="O42" s="4">
        <f t="shared" si="12"/>
        <v>82887.364859524896</v>
      </c>
    </row>
    <row r="43" spans="6:15" x14ac:dyDescent="0.2">
      <c r="F43">
        <v>42</v>
      </c>
      <c r="G43" s="2">
        <f t="shared" si="0"/>
        <v>46660</v>
      </c>
      <c r="H43" s="4">
        <f t="shared" si="1"/>
        <v>468738.93214203638</v>
      </c>
      <c r="I43" s="4">
        <f t="shared" si="2"/>
        <v>2684.1081150606951</v>
      </c>
      <c r="J43" s="4">
        <f t="shared" si="3"/>
        <v>100</v>
      </c>
      <c r="K43" s="4">
        <f t="shared" si="9"/>
        <v>2784.1081150606951</v>
      </c>
      <c r="L43" s="4">
        <f t="shared" si="10"/>
        <v>831.02923113554334</v>
      </c>
      <c r="M43" s="4">
        <f t="shared" si="4"/>
        <v>1953.0788839251518</v>
      </c>
      <c r="N43" s="4">
        <f t="shared" si="11"/>
        <v>467907.90291090083</v>
      </c>
      <c r="O43" s="4">
        <f t="shared" si="12"/>
        <v>84840.443743450043</v>
      </c>
    </row>
    <row r="44" spans="6:15" x14ac:dyDescent="0.2">
      <c r="F44">
        <v>43</v>
      </c>
      <c r="G44" s="2">
        <f t="shared" si="0"/>
        <v>46691</v>
      </c>
      <c r="H44" s="4">
        <f t="shared" si="1"/>
        <v>467907.90291090083</v>
      </c>
      <c r="I44" s="4">
        <f t="shared" si="2"/>
        <v>2684.1081150606951</v>
      </c>
      <c r="J44" s="4">
        <f t="shared" si="3"/>
        <v>100</v>
      </c>
      <c r="K44" s="4">
        <f t="shared" si="9"/>
        <v>2784.1081150606951</v>
      </c>
      <c r="L44" s="4">
        <f t="shared" si="10"/>
        <v>834.49185293194137</v>
      </c>
      <c r="M44" s="4">
        <f t="shared" si="4"/>
        <v>1949.6162621287538</v>
      </c>
      <c r="N44" s="4">
        <f t="shared" si="11"/>
        <v>467073.41105796886</v>
      </c>
      <c r="O44" s="4">
        <f t="shared" si="12"/>
        <v>86790.060005578795</v>
      </c>
    </row>
    <row r="45" spans="6:15" x14ac:dyDescent="0.2">
      <c r="F45">
        <v>44</v>
      </c>
      <c r="G45" s="2">
        <f t="shared" si="0"/>
        <v>46721</v>
      </c>
      <c r="H45" s="4">
        <f t="shared" si="1"/>
        <v>467073.41105796886</v>
      </c>
      <c r="I45" s="4">
        <f t="shared" si="2"/>
        <v>2684.1081150606951</v>
      </c>
      <c r="J45" s="4">
        <f t="shared" si="3"/>
        <v>100</v>
      </c>
      <c r="K45" s="4">
        <f t="shared" si="9"/>
        <v>2784.1081150606951</v>
      </c>
      <c r="L45" s="4">
        <f t="shared" si="10"/>
        <v>837.96890231915791</v>
      </c>
      <c r="M45" s="4">
        <f t="shared" si="4"/>
        <v>1946.1392127415372</v>
      </c>
      <c r="N45" s="4">
        <f t="shared" si="11"/>
        <v>466235.44215564971</v>
      </c>
      <c r="O45" s="4">
        <f t="shared" si="12"/>
        <v>88736.199218320326</v>
      </c>
    </row>
    <row r="46" spans="6:15" x14ac:dyDescent="0.2">
      <c r="F46">
        <v>45</v>
      </c>
      <c r="G46" s="2">
        <f t="shared" si="0"/>
        <v>46752</v>
      </c>
      <c r="H46" s="4">
        <f t="shared" si="1"/>
        <v>466235.44215564971</v>
      </c>
      <c r="I46" s="4">
        <f t="shared" si="2"/>
        <v>2684.1081150606951</v>
      </c>
      <c r="J46" s="4">
        <f t="shared" si="3"/>
        <v>100</v>
      </c>
      <c r="K46" s="4">
        <f t="shared" si="9"/>
        <v>2784.1081150606951</v>
      </c>
      <c r="L46" s="4">
        <f t="shared" si="10"/>
        <v>841.46043941215453</v>
      </c>
      <c r="M46" s="4">
        <f t="shared" si="4"/>
        <v>1942.6476756485406</v>
      </c>
      <c r="N46" s="4">
        <f t="shared" si="11"/>
        <v>465393.98171623755</v>
      </c>
      <c r="O46" s="4">
        <f t="shared" si="12"/>
        <v>90678.846893968861</v>
      </c>
    </row>
    <row r="47" spans="6:15" x14ac:dyDescent="0.2">
      <c r="F47">
        <v>46</v>
      </c>
      <c r="G47" s="2">
        <f t="shared" si="0"/>
        <v>46783</v>
      </c>
      <c r="H47" s="4">
        <f t="shared" si="1"/>
        <v>465393.98171623755</v>
      </c>
      <c r="I47" s="4">
        <f t="shared" si="2"/>
        <v>2684.1081150606951</v>
      </c>
      <c r="J47" s="4">
        <f t="shared" si="3"/>
        <v>100</v>
      </c>
      <c r="K47" s="4">
        <f t="shared" si="9"/>
        <v>2784.1081150606951</v>
      </c>
      <c r="L47" s="4">
        <f t="shared" si="10"/>
        <v>844.96652457637174</v>
      </c>
      <c r="M47" s="4">
        <f t="shared" si="4"/>
        <v>1939.1415904843234</v>
      </c>
      <c r="N47" s="4">
        <f t="shared" si="11"/>
        <v>464549.01519166119</v>
      </c>
      <c r="O47" s="4">
        <f t="shared" si="12"/>
        <v>92617.988484453177</v>
      </c>
    </row>
    <row r="48" spans="6:15" x14ac:dyDescent="0.2">
      <c r="F48">
        <v>47</v>
      </c>
      <c r="G48" s="2">
        <f t="shared" si="0"/>
        <v>46812</v>
      </c>
      <c r="H48" s="4">
        <f t="shared" si="1"/>
        <v>464549.01519166119</v>
      </c>
      <c r="I48" s="4">
        <f t="shared" si="2"/>
        <v>2684.1081150606951</v>
      </c>
      <c r="J48" s="4">
        <f t="shared" si="3"/>
        <v>100</v>
      </c>
      <c r="K48" s="4">
        <f t="shared" si="9"/>
        <v>2784.1081150606951</v>
      </c>
      <c r="L48" s="4">
        <f t="shared" si="10"/>
        <v>848.4872184287733</v>
      </c>
      <c r="M48" s="4">
        <f t="shared" si="4"/>
        <v>1935.6208966319218</v>
      </c>
      <c r="N48" s="4">
        <f t="shared" si="11"/>
        <v>463700.52797323244</v>
      </c>
      <c r="O48" s="4">
        <f t="shared" si="12"/>
        <v>94553.609381085102</v>
      </c>
    </row>
    <row r="49" spans="6:15" x14ac:dyDescent="0.2">
      <c r="F49">
        <v>48</v>
      </c>
      <c r="G49" s="2">
        <f t="shared" si="0"/>
        <v>46843</v>
      </c>
      <c r="H49" s="4">
        <f t="shared" si="1"/>
        <v>463700.52797323244</v>
      </c>
      <c r="I49" s="4">
        <f t="shared" si="2"/>
        <v>2684.1081150606951</v>
      </c>
      <c r="J49" s="4">
        <f t="shared" si="3"/>
        <v>100</v>
      </c>
      <c r="K49" s="4">
        <f t="shared" si="9"/>
        <v>2784.1081150606951</v>
      </c>
      <c r="L49" s="4">
        <f t="shared" si="10"/>
        <v>852.0225818388933</v>
      </c>
      <c r="M49" s="4">
        <f t="shared" si="4"/>
        <v>1932.0855332218018</v>
      </c>
      <c r="N49" s="4">
        <f t="shared" si="11"/>
        <v>462848.50539139356</v>
      </c>
      <c r="O49" s="4">
        <f t="shared" si="12"/>
        <v>96485.694914306907</v>
      </c>
    </row>
    <row r="50" spans="6:15" x14ac:dyDescent="0.2">
      <c r="F50">
        <v>49</v>
      </c>
      <c r="G50" s="2">
        <f t="shared" si="0"/>
        <v>46873</v>
      </c>
      <c r="H50" s="4">
        <f t="shared" si="1"/>
        <v>462848.50539139356</v>
      </c>
      <c r="I50" s="4">
        <f t="shared" si="2"/>
        <v>2684.1081150606951</v>
      </c>
      <c r="J50" s="4">
        <f t="shared" si="3"/>
        <v>100</v>
      </c>
      <c r="K50" s="4">
        <f t="shared" si="9"/>
        <v>2784.1081150606951</v>
      </c>
      <c r="L50" s="4">
        <f t="shared" si="10"/>
        <v>855.57267592988865</v>
      </c>
      <c r="M50" s="4">
        <f t="shared" si="4"/>
        <v>1928.5354391308065</v>
      </c>
      <c r="N50" s="4">
        <f t="shared" si="11"/>
        <v>461992.93271546368</v>
      </c>
      <c r="O50" s="4">
        <f t="shared" si="12"/>
        <v>98414.230353437713</v>
      </c>
    </row>
    <row r="51" spans="6:15" x14ac:dyDescent="0.2">
      <c r="F51">
        <v>50</v>
      </c>
      <c r="G51" s="2">
        <f t="shared" si="0"/>
        <v>46904</v>
      </c>
      <c r="H51" s="4">
        <f t="shared" si="1"/>
        <v>461992.93271546368</v>
      </c>
      <c r="I51" s="4">
        <f t="shared" si="2"/>
        <v>2684.1081150606951</v>
      </c>
      <c r="J51" s="4">
        <f t="shared" si="3"/>
        <v>100</v>
      </c>
      <c r="K51" s="4">
        <f t="shared" si="9"/>
        <v>2784.1081150606951</v>
      </c>
      <c r="L51" s="4">
        <f t="shared" si="10"/>
        <v>859.13756207959636</v>
      </c>
      <c r="M51" s="4">
        <f t="shared" si="4"/>
        <v>1924.9705529810988</v>
      </c>
      <c r="N51" s="4">
        <f t="shared" si="11"/>
        <v>461133.7951533841</v>
      </c>
      <c r="O51" s="4">
        <f t="shared" si="12"/>
        <v>100339.20090641882</v>
      </c>
    </row>
    <row r="52" spans="6:15" x14ac:dyDescent="0.2">
      <c r="F52">
        <v>51</v>
      </c>
      <c r="G52" s="2">
        <f t="shared" si="0"/>
        <v>46934</v>
      </c>
      <c r="H52" s="4">
        <f t="shared" si="1"/>
        <v>461133.7951533841</v>
      </c>
      <c r="I52" s="4">
        <f t="shared" si="2"/>
        <v>2684.1081150606951</v>
      </c>
      <c r="J52" s="4">
        <f t="shared" si="3"/>
        <v>100</v>
      </c>
      <c r="K52" s="4">
        <f t="shared" si="9"/>
        <v>2784.1081150606951</v>
      </c>
      <c r="L52" s="4">
        <f t="shared" si="10"/>
        <v>862.71730192159453</v>
      </c>
      <c r="M52" s="4">
        <f t="shared" si="4"/>
        <v>1921.3908131391006</v>
      </c>
      <c r="N52" s="4">
        <f t="shared" si="11"/>
        <v>460271.07785146253</v>
      </c>
      <c r="O52" s="4">
        <f t="shared" si="12"/>
        <v>102260.59171955792</v>
      </c>
    </row>
    <row r="53" spans="6:15" x14ac:dyDescent="0.2">
      <c r="F53">
        <v>52</v>
      </c>
      <c r="G53" s="2">
        <f t="shared" si="0"/>
        <v>46965</v>
      </c>
      <c r="H53" s="4">
        <f t="shared" si="1"/>
        <v>460271.07785146253</v>
      </c>
      <c r="I53" s="4">
        <f t="shared" si="2"/>
        <v>2684.1081150606951</v>
      </c>
      <c r="J53" s="4">
        <f t="shared" si="3"/>
        <v>100</v>
      </c>
      <c r="K53" s="4">
        <f t="shared" si="9"/>
        <v>2784.1081150606951</v>
      </c>
      <c r="L53" s="4">
        <f t="shared" si="10"/>
        <v>866.31195734626795</v>
      </c>
      <c r="M53" s="4">
        <f t="shared" si="4"/>
        <v>1917.7961577144272</v>
      </c>
      <c r="N53" s="4">
        <f t="shared" si="11"/>
        <v>459404.76589411625</v>
      </c>
      <c r="O53" s="4">
        <f t="shared" si="12"/>
        <v>104178.38787727235</v>
      </c>
    </row>
    <row r="54" spans="6:15" x14ac:dyDescent="0.2">
      <c r="F54">
        <v>53</v>
      </c>
      <c r="G54" s="2">
        <f t="shared" si="0"/>
        <v>46996</v>
      </c>
      <c r="H54" s="4">
        <f t="shared" si="1"/>
        <v>459404.76589411625</v>
      </c>
      <c r="I54" s="4">
        <f t="shared" si="2"/>
        <v>2684.1081150606951</v>
      </c>
      <c r="J54" s="4">
        <f t="shared" si="3"/>
        <v>100</v>
      </c>
      <c r="K54" s="4">
        <f t="shared" si="9"/>
        <v>2784.1081150606951</v>
      </c>
      <c r="L54" s="4">
        <f t="shared" si="10"/>
        <v>869.92159050187729</v>
      </c>
      <c r="M54" s="4">
        <f t="shared" si="4"/>
        <v>1914.1865245588178</v>
      </c>
      <c r="N54" s="4">
        <f t="shared" si="11"/>
        <v>458534.8443036144</v>
      </c>
      <c r="O54" s="4">
        <f t="shared" si="12"/>
        <v>106092.57440183117</v>
      </c>
    </row>
    <row r="55" spans="6:15" x14ac:dyDescent="0.2">
      <c r="F55">
        <v>54</v>
      </c>
      <c r="G55" s="2">
        <f t="shared" si="0"/>
        <v>47026</v>
      </c>
      <c r="H55" s="4">
        <f t="shared" si="1"/>
        <v>458534.8443036144</v>
      </c>
      <c r="I55" s="4">
        <f t="shared" si="2"/>
        <v>2684.1081150606951</v>
      </c>
      <c r="J55" s="4">
        <f t="shared" si="3"/>
        <v>100</v>
      </c>
      <c r="K55" s="4">
        <f t="shared" si="9"/>
        <v>2784.1081150606951</v>
      </c>
      <c r="L55" s="4">
        <f t="shared" si="10"/>
        <v>873.54626379563501</v>
      </c>
      <c r="M55" s="4">
        <f t="shared" si="4"/>
        <v>1910.5618512650601</v>
      </c>
      <c r="N55" s="4">
        <f t="shared" si="11"/>
        <v>457661.29803981876</v>
      </c>
      <c r="O55" s="4">
        <f t="shared" si="12"/>
        <v>108003.13625309622</v>
      </c>
    </row>
    <row r="56" spans="6:15" x14ac:dyDescent="0.2">
      <c r="F56">
        <v>55</v>
      </c>
      <c r="G56" s="2">
        <f t="shared" si="0"/>
        <v>47057</v>
      </c>
      <c r="H56" s="4">
        <f t="shared" si="1"/>
        <v>457661.29803981876</v>
      </c>
      <c r="I56" s="4">
        <f t="shared" si="2"/>
        <v>2684.1081150606951</v>
      </c>
      <c r="J56" s="4">
        <f t="shared" si="3"/>
        <v>100</v>
      </c>
      <c r="K56" s="4">
        <f t="shared" si="9"/>
        <v>2784.1081150606951</v>
      </c>
      <c r="L56" s="4">
        <f t="shared" si="10"/>
        <v>877.18603989478356</v>
      </c>
      <c r="M56" s="4">
        <f t="shared" si="4"/>
        <v>1906.9220751659116</v>
      </c>
      <c r="N56" s="4">
        <f t="shared" si="11"/>
        <v>456784.111999924</v>
      </c>
      <c r="O56" s="4">
        <f t="shared" si="12"/>
        <v>109910.05832826214</v>
      </c>
    </row>
    <row r="57" spans="6:15" x14ac:dyDescent="0.2">
      <c r="F57">
        <v>56</v>
      </c>
      <c r="G57" s="2">
        <f t="shared" si="0"/>
        <v>47087</v>
      </c>
      <c r="H57" s="4">
        <f t="shared" si="1"/>
        <v>456784.111999924</v>
      </c>
      <c r="I57" s="4">
        <f t="shared" si="2"/>
        <v>2684.1081150606951</v>
      </c>
      <c r="J57" s="4">
        <f t="shared" si="3"/>
        <v>100</v>
      </c>
      <c r="K57" s="4">
        <f t="shared" si="9"/>
        <v>2784.1081150606951</v>
      </c>
      <c r="L57" s="4">
        <f t="shared" si="10"/>
        <v>880.84098172767813</v>
      </c>
      <c r="M57" s="4">
        <f t="shared" si="4"/>
        <v>1903.267133333017</v>
      </c>
      <c r="N57" s="4">
        <f t="shared" si="11"/>
        <v>455903.2710181963</v>
      </c>
      <c r="O57" s="4">
        <f t="shared" si="12"/>
        <v>111813.32546159516</v>
      </c>
    </row>
    <row r="58" spans="6:15" x14ac:dyDescent="0.2">
      <c r="F58">
        <v>57</v>
      </c>
      <c r="G58" s="2">
        <f t="shared" si="0"/>
        <v>47118</v>
      </c>
      <c r="H58" s="4">
        <f t="shared" si="1"/>
        <v>455903.2710181963</v>
      </c>
      <c r="I58" s="4">
        <f t="shared" si="2"/>
        <v>2684.1081150606951</v>
      </c>
      <c r="J58" s="4">
        <f t="shared" si="3"/>
        <v>100</v>
      </c>
      <c r="K58" s="4">
        <f t="shared" si="9"/>
        <v>2784.1081150606951</v>
      </c>
      <c r="L58" s="4">
        <f t="shared" si="10"/>
        <v>884.51115248487713</v>
      </c>
      <c r="M58" s="4">
        <f t="shared" si="4"/>
        <v>1899.596962575818</v>
      </c>
      <c r="N58" s="4">
        <f t="shared" si="11"/>
        <v>455018.75986571144</v>
      </c>
      <c r="O58" s="4">
        <f t="shared" si="12"/>
        <v>113712.92242417097</v>
      </c>
    </row>
    <row r="59" spans="6:15" x14ac:dyDescent="0.2">
      <c r="F59">
        <v>58</v>
      </c>
      <c r="G59" s="2">
        <f t="shared" si="0"/>
        <v>47149</v>
      </c>
      <c r="H59" s="4">
        <f t="shared" si="1"/>
        <v>455018.75986571144</v>
      </c>
      <c r="I59" s="4">
        <f t="shared" si="2"/>
        <v>2684.1081150606951</v>
      </c>
      <c r="J59" s="4">
        <f t="shared" si="3"/>
        <v>100</v>
      </c>
      <c r="K59" s="4">
        <f t="shared" si="9"/>
        <v>2784.1081150606951</v>
      </c>
      <c r="L59" s="4">
        <f t="shared" si="10"/>
        <v>888.19661562023066</v>
      </c>
      <c r="M59" s="4">
        <f t="shared" si="4"/>
        <v>1895.9114994404645</v>
      </c>
      <c r="N59" s="4">
        <f t="shared" si="11"/>
        <v>454130.56325009122</v>
      </c>
      <c r="O59" s="4">
        <f t="shared" si="12"/>
        <v>115608.83392361144</v>
      </c>
    </row>
    <row r="60" spans="6:15" x14ac:dyDescent="0.2">
      <c r="F60">
        <v>59</v>
      </c>
      <c r="G60" s="2">
        <f t="shared" si="0"/>
        <v>47177</v>
      </c>
      <c r="H60" s="4">
        <f t="shared" si="1"/>
        <v>454130.56325009122</v>
      </c>
      <c r="I60" s="4">
        <f t="shared" si="2"/>
        <v>2684.1081150606951</v>
      </c>
      <c r="J60" s="4">
        <f t="shared" si="3"/>
        <v>100</v>
      </c>
      <c r="K60" s="4">
        <f t="shared" si="9"/>
        <v>2784.1081150606951</v>
      </c>
      <c r="L60" s="4">
        <f t="shared" si="10"/>
        <v>891.89743485198164</v>
      </c>
      <c r="M60" s="4">
        <f t="shared" si="4"/>
        <v>1892.2106802087135</v>
      </c>
      <c r="N60" s="4">
        <f t="shared" si="11"/>
        <v>453238.66581523925</v>
      </c>
      <c r="O60" s="4">
        <f t="shared" si="12"/>
        <v>117501.04460382015</v>
      </c>
    </row>
    <row r="61" spans="6:15" x14ac:dyDescent="0.2">
      <c r="F61">
        <v>60</v>
      </c>
      <c r="G61" s="2">
        <f t="shared" si="0"/>
        <v>47208</v>
      </c>
      <c r="H61" s="4">
        <f t="shared" si="1"/>
        <v>453238.66581523925</v>
      </c>
      <c r="I61" s="4">
        <f t="shared" si="2"/>
        <v>2684.1081150606951</v>
      </c>
      <c r="J61" s="4">
        <f t="shared" si="3"/>
        <v>100</v>
      </c>
      <c r="K61" s="4">
        <f t="shared" si="9"/>
        <v>2784.1081150606951</v>
      </c>
      <c r="L61" s="4">
        <f t="shared" si="10"/>
        <v>895.61367416386474</v>
      </c>
      <c r="M61" s="4">
        <f t="shared" si="4"/>
        <v>1888.4944408968304</v>
      </c>
      <c r="N61" s="4">
        <f t="shared" si="11"/>
        <v>452343.05214107537</v>
      </c>
      <c r="O61" s="4">
        <f t="shared" si="12"/>
        <v>119389.53904471698</v>
      </c>
    </row>
    <row r="62" spans="6:15" x14ac:dyDescent="0.2">
      <c r="F62">
        <v>61</v>
      </c>
      <c r="G62" s="2">
        <f t="shared" si="0"/>
        <v>47238</v>
      </c>
      <c r="H62" s="4">
        <f t="shared" si="1"/>
        <v>452343.05214107537</v>
      </c>
      <c r="I62" s="4">
        <f t="shared" si="2"/>
        <v>2684.1081150606951</v>
      </c>
      <c r="J62" s="4">
        <f t="shared" si="3"/>
        <v>100</v>
      </c>
      <c r="K62" s="4">
        <f t="shared" si="9"/>
        <v>2784.1081150606951</v>
      </c>
      <c r="L62" s="4">
        <f t="shared" si="10"/>
        <v>899.34539780621435</v>
      </c>
      <c r="M62" s="4">
        <f t="shared" si="4"/>
        <v>1884.7627172544808</v>
      </c>
      <c r="N62" s="4">
        <f t="shared" si="11"/>
        <v>451443.70674326917</v>
      </c>
      <c r="O62" s="4">
        <f t="shared" si="12"/>
        <v>121274.30176197145</v>
      </c>
    </row>
    <row r="63" spans="6:15" x14ac:dyDescent="0.2">
      <c r="F63">
        <v>62</v>
      </c>
      <c r="G63" s="2">
        <f t="shared" si="0"/>
        <v>47269</v>
      </c>
      <c r="H63" s="4">
        <f t="shared" si="1"/>
        <v>451443.70674326917</v>
      </c>
      <c r="I63" s="4">
        <f t="shared" si="2"/>
        <v>2684.1081150606951</v>
      </c>
      <c r="J63" s="4">
        <f t="shared" si="3"/>
        <v>100</v>
      </c>
      <c r="K63" s="4">
        <f t="shared" si="9"/>
        <v>2784.1081150606951</v>
      </c>
      <c r="L63" s="4">
        <f t="shared" si="10"/>
        <v>903.09267029707348</v>
      </c>
      <c r="M63" s="4">
        <f t="shared" si="4"/>
        <v>1881.0154447636216</v>
      </c>
      <c r="N63" s="4">
        <f t="shared" si="11"/>
        <v>450540.61407297209</v>
      </c>
      <c r="O63" s="4">
        <f t="shared" si="12"/>
        <v>123155.31720673507</v>
      </c>
    </row>
    <row r="64" spans="6:15" x14ac:dyDescent="0.2">
      <c r="F64">
        <v>63</v>
      </c>
      <c r="G64" s="2">
        <f t="shared" si="0"/>
        <v>47299</v>
      </c>
      <c r="H64" s="4">
        <f t="shared" si="1"/>
        <v>450540.61407297209</v>
      </c>
      <c r="I64" s="4">
        <f t="shared" si="2"/>
        <v>2684.1081150606951</v>
      </c>
      <c r="J64" s="4">
        <f t="shared" si="3"/>
        <v>100</v>
      </c>
      <c r="K64" s="4">
        <f t="shared" si="9"/>
        <v>2784.1081150606951</v>
      </c>
      <c r="L64" s="4">
        <f t="shared" si="10"/>
        <v>906.85555642331133</v>
      </c>
      <c r="M64" s="4">
        <f t="shared" si="4"/>
        <v>1877.2525586373838</v>
      </c>
      <c r="N64" s="4">
        <f t="shared" si="11"/>
        <v>449633.75851654878</v>
      </c>
      <c r="O64" s="4">
        <f t="shared" si="12"/>
        <v>125032.56976537245</v>
      </c>
    </row>
    <row r="65" spans="6:15" x14ac:dyDescent="0.2">
      <c r="F65">
        <v>64</v>
      </c>
      <c r="G65" s="2">
        <f t="shared" si="0"/>
        <v>47330</v>
      </c>
      <c r="H65" s="4">
        <f t="shared" si="1"/>
        <v>449633.75851654878</v>
      </c>
      <c r="I65" s="4">
        <f t="shared" si="2"/>
        <v>2684.1081150606951</v>
      </c>
      <c r="J65" s="4">
        <f t="shared" si="3"/>
        <v>100</v>
      </c>
      <c r="K65" s="4">
        <f t="shared" si="9"/>
        <v>2784.1081150606951</v>
      </c>
      <c r="L65" s="4">
        <f t="shared" si="10"/>
        <v>910.6341212417417</v>
      </c>
      <c r="M65" s="4">
        <f t="shared" si="4"/>
        <v>1873.4739938189534</v>
      </c>
      <c r="N65" s="4">
        <f t="shared" si="11"/>
        <v>448723.12439530704</v>
      </c>
      <c r="O65" s="4">
        <f t="shared" si="12"/>
        <v>126906.04375919141</v>
      </c>
    </row>
    <row r="66" spans="6:15" x14ac:dyDescent="0.2">
      <c r="F66">
        <v>65</v>
      </c>
      <c r="G66" s="2">
        <f t="shared" ref="G66:G129" si="13">IF(F66 &lt;&gt; "", EOMONTH(D$7, ROW() - 1 - 1), "")</f>
        <v>47361</v>
      </c>
      <c r="H66" s="4">
        <f t="shared" ref="H66:H129" si="14">IF(F66&lt;&gt;"", IF(F66 = 1, D$3, N65),  "")</f>
        <v>448723.12439530704</v>
      </c>
      <c r="I66" s="4">
        <f t="shared" ref="I66:I129" si="15">IF(F66&lt;&gt;"", D$12, "")</f>
        <v>2684.1081150606951</v>
      </c>
      <c r="J66" s="4">
        <f t="shared" ref="J66:J129" si="16">IF(F66 &lt;&gt; "", D$8, "")</f>
        <v>100</v>
      </c>
      <c r="K66" s="4">
        <f t="shared" si="9"/>
        <v>2784.1081150606951</v>
      </c>
      <c r="L66" s="4">
        <f t="shared" si="10"/>
        <v>914.42843008024897</v>
      </c>
      <c r="M66" s="4">
        <f t="shared" ref="M66:M129" si="17">IF(F66 &lt;&gt; "", H66 * D$4/D$6, "")</f>
        <v>1869.6796849804462</v>
      </c>
      <c r="N66" s="4">
        <f t="shared" si="11"/>
        <v>447808.6959652268</v>
      </c>
      <c r="O66" s="4">
        <f t="shared" si="12"/>
        <v>128775.72344417186</v>
      </c>
    </row>
    <row r="67" spans="6:15" x14ac:dyDescent="0.2">
      <c r="F67">
        <v>66</v>
      </c>
      <c r="G67" s="2">
        <f t="shared" si="13"/>
        <v>47391</v>
      </c>
      <c r="H67" s="4">
        <f t="shared" si="14"/>
        <v>447808.6959652268</v>
      </c>
      <c r="I67" s="4">
        <f t="shared" si="15"/>
        <v>2684.1081150606951</v>
      </c>
      <c r="J67" s="4">
        <f t="shared" si="16"/>
        <v>100</v>
      </c>
      <c r="K67" s="4">
        <f t="shared" si="9"/>
        <v>2784.1081150606951</v>
      </c>
      <c r="L67" s="4">
        <f t="shared" si="10"/>
        <v>918.2385485389168</v>
      </c>
      <c r="M67" s="4">
        <f t="shared" si="17"/>
        <v>1865.8695665217783</v>
      </c>
      <c r="N67" s="4">
        <f t="shared" si="11"/>
        <v>446890.45741668786</v>
      </c>
      <c r="O67" s="4">
        <f t="shared" si="12"/>
        <v>130641.59301069364</v>
      </c>
    </row>
    <row r="68" spans="6:15" x14ac:dyDescent="0.2">
      <c r="F68">
        <v>67</v>
      </c>
      <c r="G68" s="2">
        <f t="shared" si="13"/>
        <v>47422</v>
      </c>
      <c r="H68" s="4">
        <f t="shared" si="14"/>
        <v>446890.45741668786</v>
      </c>
      <c r="I68" s="4">
        <f t="shared" si="15"/>
        <v>2684.1081150606951</v>
      </c>
      <c r="J68" s="4">
        <f t="shared" si="16"/>
        <v>100</v>
      </c>
      <c r="K68" s="4">
        <f t="shared" si="9"/>
        <v>2784.1081150606951</v>
      </c>
      <c r="L68" s="4">
        <f t="shared" si="10"/>
        <v>922.06454249116246</v>
      </c>
      <c r="M68" s="4">
        <f t="shared" si="17"/>
        <v>1862.0435725695327</v>
      </c>
      <c r="N68" s="4">
        <f t="shared" si="11"/>
        <v>445968.3928741967</v>
      </c>
      <c r="O68" s="4">
        <f t="shared" si="12"/>
        <v>132503.63658326317</v>
      </c>
    </row>
    <row r="69" spans="6:15" x14ac:dyDescent="0.2">
      <c r="F69">
        <v>68</v>
      </c>
      <c r="G69" s="2">
        <f t="shared" si="13"/>
        <v>47452</v>
      </c>
      <c r="H69" s="4">
        <f t="shared" si="14"/>
        <v>445968.3928741967</v>
      </c>
      <c r="I69" s="4">
        <f t="shared" si="15"/>
        <v>2684.1081150606951</v>
      </c>
      <c r="J69" s="4">
        <f t="shared" si="16"/>
        <v>100</v>
      </c>
      <c r="K69" s="4">
        <f t="shared" ref="K69:K132" si="18">IF(F69 &lt;&gt; "", I69+J69, "")</f>
        <v>2784.1081150606951</v>
      </c>
      <c r="L69" s="4">
        <f t="shared" ref="L69:L132" si="19">IF(F69&lt;&gt;"",K69-M69,"")</f>
        <v>925.90647808487552</v>
      </c>
      <c r="M69" s="4">
        <f t="shared" si="17"/>
        <v>1858.2016369758196</v>
      </c>
      <c r="N69" s="4">
        <f t="shared" ref="N69:N132" si="20">IF(F69 &lt;&gt; "", IF(H69-L69 &lt; 0, 0, H69-L69), "")</f>
        <v>445042.48639611184</v>
      </c>
      <c r="O69" s="4">
        <f t="shared" ref="O69:O132" si="21">IF(F69&lt;&gt;"", IF(F69 = 1, 0, O68) + M69, "")</f>
        <v>134361.83822023898</v>
      </c>
    </row>
    <row r="70" spans="6:15" x14ac:dyDescent="0.2">
      <c r="F70">
        <v>69</v>
      </c>
      <c r="G70" s="2">
        <f t="shared" si="13"/>
        <v>47483</v>
      </c>
      <c r="H70" s="4">
        <f t="shared" si="14"/>
        <v>445042.48639611184</v>
      </c>
      <c r="I70" s="4">
        <f t="shared" si="15"/>
        <v>2684.1081150606951</v>
      </c>
      <c r="J70" s="4">
        <f t="shared" si="16"/>
        <v>100</v>
      </c>
      <c r="K70" s="4">
        <f t="shared" si="18"/>
        <v>2784.1081150606951</v>
      </c>
      <c r="L70" s="4">
        <f t="shared" si="19"/>
        <v>929.76442174356248</v>
      </c>
      <c r="M70" s="4">
        <f t="shared" si="17"/>
        <v>1854.3436933171326</v>
      </c>
      <c r="N70" s="4">
        <f t="shared" si="20"/>
        <v>444112.72197436827</v>
      </c>
      <c r="O70" s="4">
        <f t="shared" si="21"/>
        <v>136216.18191355612</v>
      </c>
    </row>
    <row r="71" spans="6:15" x14ac:dyDescent="0.2">
      <c r="F71">
        <v>70</v>
      </c>
      <c r="G71" s="2">
        <f t="shared" si="13"/>
        <v>47514</v>
      </c>
      <c r="H71" s="4">
        <f t="shared" si="14"/>
        <v>444112.72197436827</v>
      </c>
      <c r="I71" s="4">
        <f t="shared" si="15"/>
        <v>2684.1081150606951</v>
      </c>
      <c r="J71" s="4">
        <f t="shared" si="16"/>
        <v>100</v>
      </c>
      <c r="K71" s="4">
        <f t="shared" si="18"/>
        <v>2784.1081150606951</v>
      </c>
      <c r="L71" s="4">
        <f t="shared" si="19"/>
        <v>933.63844016749385</v>
      </c>
      <c r="M71" s="4">
        <f t="shared" si="17"/>
        <v>1850.4696748932013</v>
      </c>
      <c r="N71" s="4">
        <f t="shared" si="20"/>
        <v>443179.08353420079</v>
      </c>
      <c r="O71" s="4">
        <f t="shared" si="21"/>
        <v>138066.65158844931</v>
      </c>
    </row>
    <row r="72" spans="6:15" x14ac:dyDescent="0.2">
      <c r="F72">
        <v>71</v>
      </c>
      <c r="G72" s="2">
        <f t="shared" si="13"/>
        <v>47542</v>
      </c>
      <c r="H72" s="4">
        <f t="shared" si="14"/>
        <v>443179.08353420079</v>
      </c>
      <c r="I72" s="4">
        <f t="shared" si="15"/>
        <v>2684.1081150606951</v>
      </c>
      <c r="J72" s="4">
        <f t="shared" si="16"/>
        <v>100</v>
      </c>
      <c r="K72" s="4">
        <f t="shared" si="18"/>
        <v>2784.1081150606951</v>
      </c>
      <c r="L72" s="4">
        <f t="shared" si="19"/>
        <v>937.52860033485831</v>
      </c>
      <c r="M72" s="4">
        <f t="shared" si="17"/>
        <v>1846.5795147258368</v>
      </c>
      <c r="N72" s="4">
        <f t="shared" si="20"/>
        <v>442241.55493386596</v>
      </c>
      <c r="O72" s="4">
        <f t="shared" si="21"/>
        <v>139913.23110317515</v>
      </c>
    </row>
    <row r="73" spans="6:15" x14ac:dyDescent="0.2">
      <c r="F73">
        <v>72</v>
      </c>
      <c r="G73" s="2">
        <f t="shared" si="13"/>
        <v>47573</v>
      </c>
      <c r="H73" s="4">
        <f t="shared" si="14"/>
        <v>442241.55493386596</v>
      </c>
      <c r="I73" s="4">
        <f t="shared" si="15"/>
        <v>2684.1081150606951</v>
      </c>
      <c r="J73" s="4">
        <f t="shared" si="16"/>
        <v>100</v>
      </c>
      <c r="K73" s="4">
        <f t="shared" si="18"/>
        <v>2784.1081150606951</v>
      </c>
      <c r="L73" s="4">
        <f t="shared" si="19"/>
        <v>941.43496950292024</v>
      </c>
      <c r="M73" s="4">
        <f t="shared" si="17"/>
        <v>1842.6731455577749</v>
      </c>
      <c r="N73" s="4">
        <f t="shared" si="20"/>
        <v>441300.11996436305</v>
      </c>
      <c r="O73" s="4">
        <f t="shared" si="21"/>
        <v>141755.90424873293</v>
      </c>
    </row>
    <row r="74" spans="6:15" x14ac:dyDescent="0.2">
      <c r="F74">
        <v>73</v>
      </c>
      <c r="G74" s="2">
        <f t="shared" si="13"/>
        <v>47603</v>
      </c>
      <c r="H74" s="4">
        <f t="shared" si="14"/>
        <v>441300.11996436305</v>
      </c>
      <c r="I74" s="4">
        <f t="shared" si="15"/>
        <v>2684.1081150606951</v>
      </c>
      <c r="J74" s="4">
        <f t="shared" si="16"/>
        <v>100</v>
      </c>
      <c r="K74" s="4">
        <f t="shared" si="18"/>
        <v>2784.1081150606951</v>
      </c>
      <c r="L74" s="4">
        <f t="shared" si="19"/>
        <v>945.35761520918209</v>
      </c>
      <c r="M74" s="4">
        <f t="shared" si="17"/>
        <v>1838.750499851513</v>
      </c>
      <c r="N74" s="4">
        <f t="shared" si="20"/>
        <v>440354.76234915387</v>
      </c>
      <c r="O74" s="4">
        <f t="shared" si="21"/>
        <v>143594.65474858443</v>
      </c>
    </row>
    <row r="75" spans="6:15" x14ac:dyDescent="0.2">
      <c r="F75">
        <v>74</v>
      </c>
      <c r="G75" s="2">
        <f t="shared" si="13"/>
        <v>47634</v>
      </c>
      <c r="H75" s="4">
        <f t="shared" si="14"/>
        <v>440354.76234915387</v>
      </c>
      <c r="I75" s="4">
        <f t="shared" si="15"/>
        <v>2684.1081150606951</v>
      </c>
      <c r="J75" s="4">
        <f t="shared" si="16"/>
        <v>100</v>
      </c>
      <c r="K75" s="4">
        <f t="shared" si="18"/>
        <v>2784.1081150606951</v>
      </c>
      <c r="L75" s="4">
        <f t="shared" si="19"/>
        <v>949.29660527255396</v>
      </c>
      <c r="M75" s="4">
        <f t="shared" si="17"/>
        <v>1834.8115097881412</v>
      </c>
      <c r="N75" s="4">
        <f t="shared" si="20"/>
        <v>439405.4657438813</v>
      </c>
      <c r="O75" s="4">
        <f t="shared" si="21"/>
        <v>145429.46625837259</v>
      </c>
    </row>
    <row r="76" spans="6:15" x14ac:dyDescent="0.2">
      <c r="F76">
        <v>75</v>
      </c>
      <c r="G76" s="2">
        <f t="shared" si="13"/>
        <v>47664</v>
      </c>
      <c r="H76" s="4">
        <f t="shared" si="14"/>
        <v>439405.4657438813</v>
      </c>
      <c r="I76" s="4">
        <f t="shared" si="15"/>
        <v>2684.1081150606951</v>
      </c>
      <c r="J76" s="4">
        <f t="shared" si="16"/>
        <v>100</v>
      </c>
      <c r="K76" s="4">
        <f t="shared" si="18"/>
        <v>2784.1081150606951</v>
      </c>
      <c r="L76" s="4">
        <f t="shared" si="19"/>
        <v>953.2520077945228</v>
      </c>
      <c r="M76" s="4">
        <f t="shared" si="17"/>
        <v>1830.8561072661723</v>
      </c>
      <c r="N76" s="4">
        <f t="shared" si="20"/>
        <v>438452.21373608679</v>
      </c>
      <c r="O76" s="4">
        <f t="shared" si="21"/>
        <v>147260.32236563877</v>
      </c>
    </row>
    <row r="77" spans="6:15" x14ac:dyDescent="0.2">
      <c r="F77">
        <v>76</v>
      </c>
      <c r="G77" s="2">
        <f t="shared" si="13"/>
        <v>47695</v>
      </c>
      <c r="H77" s="4">
        <f t="shared" si="14"/>
        <v>438452.21373608679</v>
      </c>
      <c r="I77" s="4">
        <f t="shared" si="15"/>
        <v>2684.1081150606951</v>
      </c>
      <c r="J77" s="4">
        <f t="shared" si="16"/>
        <v>100</v>
      </c>
      <c r="K77" s="4">
        <f t="shared" si="18"/>
        <v>2784.1081150606951</v>
      </c>
      <c r="L77" s="4">
        <f t="shared" si="19"/>
        <v>957.22389116033332</v>
      </c>
      <c r="M77" s="4">
        <f t="shared" si="17"/>
        <v>1826.8842239003618</v>
      </c>
      <c r="N77" s="4">
        <f t="shared" si="20"/>
        <v>437494.98984492646</v>
      </c>
      <c r="O77" s="4">
        <f t="shared" si="21"/>
        <v>149087.20658953913</v>
      </c>
    </row>
    <row r="78" spans="6:15" x14ac:dyDescent="0.2">
      <c r="F78">
        <v>77</v>
      </c>
      <c r="G78" s="2">
        <f t="shared" si="13"/>
        <v>47726</v>
      </c>
      <c r="H78" s="4">
        <f t="shared" si="14"/>
        <v>437494.98984492646</v>
      </c>
      <c r="I78" s="4">
        <f t="shared" si="15"/>
        <v>2684.1081150606951</v>
      </c>
      <c r="J78" s="4">
        <f t="shared" si="16"/>
        <v>100</v>
      </c>
      <c r="K78" s="4">
        <f t="shared" si="18"/>
        <v>2784.1081150606951</v>
      </c>
      <c r="L78" s="4">
        <f t="shared" si="19"/>
        <v>961.21232404016814</v>
      </c>
      <c r="M78" s="4">
        <f t="shared" si="17"/>
        <v>1822.895791020527</v>
      </c>
      <c r="N78" s="4">
        <f t="shared" si="20"/>
        <v>436533.77752088627</v>
      </c>
      <c r="O78" s="4">
        <f t="shared" si="21"/>
        <v>150910.10238055966</v>
      </c>
    </row>
    <row r="79" spans="6:15" x14ac:dyDescent="0.2">
      <c r="F79">
        <v>78</v>
      </c>
      <c r="G79" s="2">
        <f t="shared" si="13"/>
        <v>47756</v>
      </c>
      <c r="H79" s="4">
        <f t="shared" si="14"/>
        <v>436533.77752088627</v>
      </c>
      <c r="I79" s="4">
        <f t="shared" si="15"/>
        <v>2684.1081150606951</v>
      </c>
      <c r="J79" s="4">
        <f t="shared" si="16"/>
        <v>100</v>
      </c>
      <c r="K79" s="4">
        <f t="shared" si="18"/>
        <v>2784.1081150606951</v>
      </c>
      <c r="L79" s="4">
        <f t="shared" si="19"/>
        <v>965.21737539033552</v>
      </c>
      <c r="M79" s="4">
        <f t="shared" si="17"/>
        <v>1818.8907396703596</v>
      </c>
      <c r="N79" s="4">
        <f t="shared" si="20"/>
        <v>435568.56014549593</v>
      </c>
      <c r="O79" s="4">
        <f t="shared" si="21"/>
        <v>152728.99312023004</v>
      </c>
    </row>
    <row r="80" spans="6:15" x14ac:dyDescent="0.2">
      <c r="F80">
        <v>79</v>
      </c>
      <c r="G80" s="2">
        <f t="shared" si="13"/>
        <v>47787</v>
      </c>
      <c r="H80" s="4">
        <f t="shared" si="14"/>
        <v>435568.56014549593</v>
      </c>
      <c r="I80" s="4">
        <f t="shared" si="15"/>
        <v>2684.1081150606951</v>
      </c>
      <c r="J80" s="4">
        <f t="shared" si="16"/>
        <v>100</v>
      </c>
      <c r="K80" s="4">
        <f t="shared" si="18"/>
        <v>2784.1081150606951</v>
      </c>
      <c r="L80" s="4">
        <f t="shared" si="19"/>
        <v>969.23911445446197</v>
      </c>
      <c r="M80" s="4">
        <f t="shared" si="17"/>
        <v>1814.8690006062332</v>
      </c>
      <c r="N80" s="4">
        <f t="shared" si="20"/>
        <v>434599.32103104144</v>
      </c>
      <c r="O80" s="4">
        <f t="shared" si="21"/>
        <v>154543.86212083627</v>
      </c>
    </row>
    <row r="81" spans="6:15" x14ac:dyDescent="0.2">
      <c r="F81">
        <v>80</v>
      </c>
      <c r="G81" s="2">
        <f t="shared" si="13"/>
        <v>47817</v>
      </c>
      <c r="H81" s="4">
        <f t="shared" si="14"/>
        <v>434599.32103104144</v>
      </c>
      <c r="I81" s="4">
        <f t="shared" si="15"/>
        <v>2684.1081150606951</v>
      </c>
      <c r="J81" s="4">
        <f t="shared" si="16"/>
        <v>100</v>
      </c>
      <c r="K81" s="4">
        <f t="shared" si="18"/>
        <v>2784.1081150606951</v>
      </c>
      <c r="L81" s="4">
        <f t="shared" si="19"/>
        <v>973.27761076468892</v>
      </c>
      <c r="M81" s="4">
        <f t="shared" si="17"/>
        <v>1810.8305042960062</v>
      </c>
      <c r="N81" s="4">
        <f t="shared" si="20"/>
        <v>433626.04342027678</v>
      </c>
      <c r="O81" s="4">
        <f t="shared" si="21"/>
        <v>156354.69262513227</v>
      </c>
    </row>
    <row r="82" spans="6:15" x14ac:dyDescent="0.2">
      <c r="F82">
        <v>81</v>
      </c>
      <c r="G82" s="2">
        <f t="shared" si="13"/>
        <v>47848</v>
      </c>
      <c r="H82" s="4">
        <f t="shared" si="14"/>
        <v>433626.04342027678</v>
      </c>
      <c r="I82" s="4">
        <f t="shared" si="15"/>
        <v>2684.1081150606951</v>
      </c>
      <c r="J82" s="4">
        <f t="shared" si="16"/>
        <v>100</v>
      </c>
      <c r="K82" s="4">
        <f t="shared" si="18"/>
        <v>2784.1081150606951</v>
      </c>
      <c r="L82" s="4">
        <f t="shared" si="19"/>
        <v>977.33293414287505</v>
      </c>
      <c r="M82" s="4">
        <f t="shared" si="17"/>
        <v>1806.7751809178201</v>
      </c>
      <c r="N82" s="4">
        <f t="shared" si="20"/>
        <v>432648.71048613393</v>
      </c>
      <c r="O82" s="4">
        <f t="shared" si="21"/>
        <v>158161.46780605009</v>
      </c>
    </row>
    <row r="83" spans="6:15" x14ac:dyDescent="0.2">
      <c r="F83">
        <v>82</v>
      </c>
      <c r="G83" s="2">
        <f t="shared" si="13"/>
        <v>47879</v>
      </c>
      <c r="H83" s="4">
        <f t="shared" si="14"/>
        <v>432648.71048613393</v>
      </c>
      <c r="I83" s="4">
        <f t="shared" si="15"/>
        <v>2684.1081150606951</v>
      </c>
      <c r="J83" s="4">
        <f t="shared" si="16"/>
        <v>100</v>
      </c>
      <c r="K83" s="4">
        <f t="shared" si="18"/>
        <v>2784.1081150606951</v>
      </c>
      <c r="L83" s="4">
        <f t="shared" si="19"/>
        <v>981.40515470180367</v>
      </c>
      <c r="M83" s="4">
        <f t="shared" si="17"/>
        <v>1802.7029603588915</v>
      </c>
      <c r="N83" s="4">
        <f t="shared" si="20"/>
        <v>431667.30533143214</v>
      </c>
      <c r="O83" s="4">
        <f t="shared" si="21"/>
        <v>159964.17076640899</v>
      </c>
    </row>
    <row r="84" spans="6:15" x14ac:dyDescent="0.2">
      <c r="F84">
        <v>83</v>
      </c>
      <c r="G84" s="2">
        <f t="shared" si="13"/>
        <v>47907</v>
      </c>
      <c r="H84" s="4">
        <f t="shared" si="14"/>
        <v>431667.30533143214</v>
      </c>
      <c r="I84" s="4">
        <f t="shared" si="15"/>
        <v>2684.1081150606951</v>
      </c>
      <c r="J84" s="4">
        <f t="shared" si="16"/>
        <v>100</v>
      </c>
      <c r="K84" s="4">
        <f t="shared" si="18"/>
        <v>2784.1081150606951</v>
      </c>
      <c r="L84" s="4">
        <f t="shared" si="19"/>
        <v>985.4943428463946</v>
      </c>
      <c r="M84" s="4">
        <f t="shared" si="17"/>
        <v>1798.6137722143005</v>
      </c>
      <c r="N84" s="4">
        <f t="shared" si="20"/>
        <v>430681.81098858576</v>
      </c>
      <c r="O84" s="4">
        <f t="shared" si="21"/>
        <v>161762.78453862329</v>
      </c>
    </row>
    <row r="85" spans="6:15" x14ac:dyDescent="0.2">
      <c r="F85">
        <v>84</v>
      </c>
      <c r="G85" s="2">
        <f t="shared" si="13"/>
        <v>47938</v>
      </c>
      <c r="H85" s="4">
        <f t="shared" si="14"/>
        <v>430681.81098858576</v>
      </c>
      <c r="I85" s="4">
        <f t="shared" si="15"/>
        <v>2684.1081150606951</v>
      </c>
      <c r="J85" s="4">
        <f t="shared" si="16"/>
        <v>100</v>
      </c>
      <c r="K85" s="4">
        <f t="shared" si="18"/>
        <v>2784.1081150606951</v>
      </c>
      <c r="L85" s="4">
        <f t="shared" si="19"/>
        <v>989.6005692749211</v>
      </c>
      <c r="M85" s="4">
        <f t="shared" si="17"/>
        <v>1794.507545785774</v>
      </c>
      <c r="N85" s="4">
        <f t="shared" si="20"/>
        <v>429692.21041931084</v>
      </c>
      <c r="O85" s="4">
        <f t="shared" si="21"/>
        <v>163557.29208440907</v>
      </c>
    </row>
    <row r="86" spans="6:15" x14ac:dyDescent="0.2">
      <c r="F86">
        <v>85</v>
      </c>
      <c r="G86" s="2">
        <f t="shared" si="13"/>
        <v>47968</v>
      </c>
      <c r="H86" s="4">
        <f t="shared" si="14"/>
        <v>429692.21041931084</v>
      </c>
      <c r="I86" s="4">
        <f t="shared" si="15"/>
        <v>2684.1081150606951</v>
      </c>
      <c r="J86" s="4">
        <f t="shared" si="16"/>
        <v>100</v>
      </c>
      <c r="K86" s="4">
        <f t="shared" si="18"/>
        <v>2784.1081150606951</v>
      </c>
      <c r="L86" s="4">
        <f t="shared" si="19"/>
        <v>993.7239049802331</v>
      </c>
      <c r="M86" s="4">
        <f t="shared" si="17"/>
        <v>1790.384210080462</v>
      </c>
      <c r="N86" s="4">
        <f t="shared" si="20"/>
        <v>428698.48651433061</v>
      </c>
      <c r="O86" s="4">
        <f t="shared" si="21"/>
        <v>165347.67629448953</v>
      </c>
    </row>
    <row r="87" spans="6:15" x14ac:dyDescent="0.2">
      <c r="F87">
        <v>86</v>
      </c>
      <c r="G87" s="2">
        <f t="shared" si="13"/>
        <v>47999</v>
      </c>
      <c r="H87" s="4">
        <f t="shared" si="14"/>
        <v>428698.48651433061</v>
      </c>
      <c r="I87" s="4">
        <f t="shared" si="15"/>
        <v>2684.1081150606951</v>
      </c>
      <c r="J87" s="4">
        <f t="shared" si="16"/>
        <v>100</v>
      </c>
      <c r="K87" s="4">
        <f t="shared" si="18"/>
        <v>2784.1081150606951</v>
      </c>
      <c r="L87" s="4">
        <f t="shared" si="19"/>
        <v>997.86442125098415</v>
      </c>
      <c r="M87" s="4">
        <f t="shared" si="17"/>
        <v>1786.243693809711</v>
      </c>
      <c r="N87" s="4">
        <f t="shared" si="20"/>
        <v>427700.62209307961</v>
      </c>
      <c r="O87" s="4">
        <f t="shared" si="21"/>
        <v>167133.91998829925</v>
      </c>
    </row>
    <row r="88" spans="6:15" x14ac:dyDescent="0.2">
      <c r="F88">
        <v>87</v>
      </c>
      <c r="G88" s="2">
        <f t="shared" si="13"/>
        <v>48029</v>
      </c>
      <c r="H88" s="4">
        <f t="shared" si="14"/>
        <v>427700.62209307961</v>
      </c>
      <c r="I88" s="4">
        <f t="shared" si="15"/>
        <v>2684.1081150606951</v>
      </c>
      <c r="J88" s="4">
        <f t="shared" si="16"/>
        <v>100</v>
      </c>
      <c r="K88" s="4">
        <f t="shared" si="18"/>
        <v>2784.1081150606951</v>
      </c>
      <c r="L88" s="4">
        <f t="shared" si="19"/>
        <v>1002.0221896728633</v>
      </c>
      <c r="M88" s="4">
        <f t="shared" si="17"/>
        <v>1782.0859253878318</v>
      </c>
      <c r="N88" s="4">
        <f t="shared" si="20"/>
        <v>426698.59990340675</v>
      </c>
      <c r="O88" s="4">
        <f t="shared" si="21"/>
        <v>168916.00591368708</v>
      </c>
    </row>
    <row r="89" spans="6:15" x14ac:dyDescent="0.2">
      <c r="F89">
        <v>88</v>
      </c>
      <c r="G89" s="2">
        <f t="shared" si="13"/>
        <v>48060</v>
      </c>
      <c r="H89" s="4">
        <f t="shared" si="14"/>
        <v>426698.59990340675</v>
      </c>
      <c r="I89" s="4">
        <f t="shared" si="15"/>
        <v>2684.1081150606951</v>
      </c>
      <c r="J89" s="4">
        <f t="shared" si="16"/>
        <v>100</v>
      </c>
      <c r="K89" s="4">
        <f t="shared" si="18"/>
        <v>2784.1081150606951</v>
      </c>
      <c r="L89" s="4">
        <f t="shared" si="19"/>
        <v>1006.1972821298334</v>
      </c>
      <c r="M89" s="4">
        <f t="shared" si="17"/>
        <v>1777.9108329308617</v>
      </c>
      <c r="N89" s="4">
        <f t="shared" si="20"/>
        <v>425692.40262127691</v>
      </c>
      <c r="O89" s="4">
        <f t="shared" si="21"/>
        <v>170693.91674661794</v>
      </c>
    </row>
    <row r="90" spans="6:15" x14ac:dyDescent="0.2">
      <c r="F90">
        <v>89</v>
      </c>
      <c r="G90" s="2">
        <f t="shared" si="13"/>
        <v>48091</v>
      </c>
      <c r="H90" s="4">
        <f t="shared" si="14"/>
        <v>425692.40262127691</v>
      </c>
      <c r="I90" s="4">
        <f t="shared" si="15"/>
        <v>2684.1081150606951</v>
      </c>
      <c r="J90" s="4">
        <f t="shared" si="16"/>
        <v>100</v>
      </c>
      <c r="K90" s="4">
        <f t="shared" si="18"/>
        <v>2784.1081150606951</v>
      </c>
      <c r="L90" s="4">
        <f t="shared" si="19"/>
        <v>1010.3897708053746</v>
      </c>
      <c r="M90" s="4">
        <f t="shared" si="17"/>
        <v>1773.7183442553205</v>
      </c>
      <c r="N90" s="4">
        <f t="shared" si="20"/>
        <v>424682.01285047154</v>
      </c>
      <c r="O90" s="4">
        <f t="shared" si="21"/>
        <v>172467.63509087326</v>
      </c>
    </row>
    <row r="91" spans="6:15" x14ac:dyDescent="0.2">
      <c r="F91">
        <v>90</v>
      </c>
      <c r="G91" s="2">
        <f t="shared" si="13"/>
        <v>48121</v>
      </c>
      <c r="H91" s="4">
        <f t="shared" si="14"/>
        <v>424682.01285047154</v>
      </c>
      <c r="I91" s="4">
        <f t="shared" si="15"/>
        <v>2684.1081150606951</v>
      </c>
      <c r="J91" s="4">
        <f t="shared" si="16"/>
        <v>100</v>
      </c>
      <c r="K91" s="4">
        <f t="shared" si="18"/>
        <v>2784.1081150606951</v>
      </c>
      <c r="L91" s="4">
        <f t="shared" si="19"/>
        <v>1014.5997281837301</v>
      </c>
      <c r="M91" s="4">
        <f t="shared" si="17"/>
        <v>1769.508386876965</v>
      </c>
      <c r="N91" s="4">
        <f t="shared" si="20"/>
        <v>423667.41312228783</v>
      </c>
      <c r="O91" s="4">
        <f t="shared" si="21"/>
        <v>174237.14347775021</v>
      </c>
    </row>
    <row r="92" spans="6:15" x14ac:dyDescent="0.2">
      <c r="F92">
        <v>91</v>
      </c>
      <c r="G92" s="2">
        <f t="shared" si="13"/>
        <v>48152</v>
      </c>
      <c r="H92" s="4">
        <f t="shared" si="14"/>
        <v>423667.41312228783</v>
      </c>
      <c r="I92" s="4">
        <f t="shared" si="15"/>
        <v>2684.1081150606951</v>
      </c>
      <c r="J92" s="4">
        <f t="shared" si="16"/>
        <v>100</v>
      </c>
      <c r="K92" s="4">
        <f t="shared" si="18"/>
        <v>2784.1081150606951</v>
      </c>
      <c r="L92" s="4">
        <f t="shared" si="19"/>
        <v>1018.8272270511625</v>
      </c>
      <c r="M92" s="4">
        <f t="shared" si="17"/>
        <v>1765.2808880095326</v>
      </c>
      <c r="N92" s="4">
        <f t="shared" si="20"/>
        <v>422648.5858952367</v>
      </c>
      <c r="O92" s="4">
        <f t="shared" si="21"/>
        <v>176002.42436575974</v>
      </c>
    </row>
    <row r="93" spans="6:15" x14ac:dyDescent="0.2">
      <c r="F93">
        <v>92</v>
      </c>
      <c r="G93" s="2">
        <f t="shared" si="13"/>
        <v>48182</v>
      </c>
      <c r="H93" s="4">
        <f t="shared" si="14"/>
        <v>422648.5858952367</v>
      </c>
      <c r="I93" s="4">
        <f t="shared" si="15"/>
        <v>2684.1081150606951</v>
      </c>
      <c r="J93" s="4">
        <f t="shared" si="16"/>
        <v>100</v>
      </c>
      <c r="K93" s="4">
        <f t="shared" si="18"/>
        <v>2784.1081150606951</v>
      </c>
      <c r="L93" s="4">
        <f t="shared" si="19"/>
        <v>1023.0723404972086</v>
      </c>
      <c r="M93" s="4">
        <f t="shared" si="17"/>
        <v>1761.0357745634865</v>
      </c>
      <c r="N93" s="4">
        <f t="shared" si="20"/>
        <v>421625.51355473947</v>
      </c>
      <c r="O93" s="4">
        <f t="shared" si="21"/>
        <v>177763.46014032324</v>
      </c>
    </row>
    <row r="94" spans="6:15" x14ac:dyDescent="0.2">
      <c r="F94">
        <v>93</v>
      </c>
      <c r="G94" s="2">
        <f t="shared" si="13"/>
        <v>48213</v>
      </c>
      <c r="H94" s="4">
        <f t="shared" si="14"/>
        <v>421625.51355473947</v>
      </c>
      <c r="I94" s="4">
        <f t="shared" si="15"/>
        <v>2684.1081150606951</v>
      </c>
      <c r="J94" s="4">
        <f t="shared" si="16"/>
        <v>100</v>
      </c>
      <c r="K94" s="4">
        <f t="shared" si="18"/>
        <v>2784.1081150606951</v>
      </c>
      <c r="L94" s="4">
        <f t="shared" si="19"/>
        <v>1027.3351419159471</v>
      </c>
      <c r="M94" s="4">
        <f t="shared" si="17"/>
        <v>1756.772973144748</v>
      </c>
      <c r="N94" s="4">
        <f t="shared" si="20"/>
        <v>420598.17841282353</v>
      </c>
      <c r="O94" s="4">
        <f t="shared" si="21"/>
        <v>179520.23311346798</v>
      </c>
    </row>
    <row r="95" spans="6:15" x14ac:dyDescent="0.2">
      <c r="F95">
        <v>94</v>
      </c>
      <c r="G95" s="2">
        <f t="shared" si="13"/>
        <v>48244</v>
      </c>
      <c r="H95" s="4">
        <f t="shared" si="14"/>
        <v>420598.17841282353</v>
      </c>
      <c r="I95" s="4">
        <f t="shared" si="15"/>
        <v>2684.1081150606951</v>
      </c>
      <c r="J95" s="4">
        <f t="shared" si="16"/>
        <v>100</v>
      </c>
      <c r="K95" s="4">
        <f t="shared" si="18"/>
        <v>2784.1081150606951</v>
      </c>
      <c r="L95" s="4">
        <f t="shared" si="19"/>
        <v>1031.6157050072636</v>
      </c>
      <c r="M95" s="4">
        <f t="shared" si="17"/>
        <v>1752.4924100534315</v>
      </c>
      <c r="N95" s="4">
        <f t="shared" si="20"/>
        <v>419566.56270781625</v>
      </c>
      <c r="O95" s="4">
        <f t="shared" si="21"/>
        <v>181272.72552352143</v>
      </c>
    </row>
    <row r="96" spans="6:15" x14ac:dyDescent="0.2">
      <c r="F96">
        <v>95</v>
      </c>
      <c r="G96" s="2">
        <f t="shared" si="13"/>
        <v>48273</v>
      </c>
      <c r="H96" s="4">
        <f t="shared" si="14"/>
        <v>419566.56270781625</v>
      </c>
      <c r="I96" s="4">
        <f t="shared" si="15"/>
        <v>2684.1081150606951</v>
      </c>
      <c r="J96" s="4">
        <f t="shared" si="16"/>
        <v>100</v>
      </c>
      <c r="K96" s="4">
        <f t="shared" si="18"/>
        <v>2784.1081150606951</v>
      </c>
      <c r="L96" s="4">
        <f t="shared" si="19"/>
        <v>1035.9141037781274</v>
      </c>
      <c r="M96" s="4">
        <f t="shared" si="17"/>
        <v>1748.1940112825678</v>
      </c>
      <c r="N96" s="4">
        <f t="shared" si="20"/>
        <v>418530.64860403811</v>
      </c>
      <c r="O96" s="4">
        <f t="shared" si="21"/>
        <v>183020.91953480398</v>
      </c>
    </row>
    <row r="97" spans="6:15" x14ac:dyDescent="0.2">
      <c r="F97">
        <v>96</v>
      </c>
      <c r="G97" s="2">
        <f t="shared" si="13"/>
        <v>48304</v>
      </c>
      <c r="H97" s="4">
        <f t="shared" si="14"/>
        <v>418530.64860403811</v>
      </c>
      <c r="I97" s="4">
        <f t="shared" si="15"/>
        <v>2684.1081150606951</v>
      </c>
      <c r="J97" s="4">
        <f t="shared" si="16"/>
        <v>100</v>
      </c>
      <c r="K97" s="4">
        <f t="shared" si="18"/>
        <v>2784.1081150606951</v>
      </c>
      <c r="L97" s="4">
        <f t="shared" si="19"/>
        <v>1040.2304125438695</v>
      </c>
      <c r="M97" s="4">
        <f t="shared" si="17"/>
        <v>1743.8777025168256</v>
      </c>
      <c r="N97" s="4">
        <f t="shared" si="20"/>
        <v>417490.41819149425</v>
      </c>
      <c r="O97" s="4">
        <f t="shared" si="21"/>
        <v>184764.7972373208</v>
      </c>
    </row>
    <row r="98" spans="6:15" x14ac:dyDescent="0.2">
      <c r="F98">
        <v>97</v>
      </c>
      <c r="G98" s="2">
        <f t="shared" si="13"/>
        <v>48334</v>
      </c>
      <c r="H98" s="4">
        <f t="shared" si="14"/>
        <v>417490.41819149425</v>
      </c>
      <c r="I98" s="4">
        <f t="shared" si="15"/>
        <v>2684.1081150606951</v>
      </c>
      <c r="J98" s="4">
        <f t="shared" si="16"/>
        <v>100</v>
      </c>
      <c r="K98" s="4">
        <f t="shared" si="18"/>
        <v>2784.1081150606951</v>
      </c>
      <c r="L98" s="4">
        <f t="shared" si="19"/>
        <v>1044.564705929469</v>
      </c>
      <c r="M98" s="4">
        <f t="shared" si="17"/>
        <v>1739.5434091312261</v>
      </c>
      <c r="N98" s="4">
        <f t="shared" si="20"/>
        <v>416445.85348556476</v>
      </c>
      <c r="O98" s="4">
        <f t="shared" si="21"/>
        <v>186504.34064645204</v>
      </c>
    </row>
    <row r="99" spans="6:15" x14ac:dyDescent="0.2">
      <c r="F99">
        <v>98</v>
      </c>
      <c r="G99" s="2">
        <f t="shared" si="13"/>
        <v>48365</v>
      </c>
      <c r="H99" s="4">
        <f t="shared" si="14"/>
        <v>416445.85348556476</v>
      </c>
      <c r="I99" s="4">
        <f t="shared" si="15"/>
        <v>2684.1081150606951</v>
      </c>
      <c r="J99" s="4">
        <f t="shared" si="16"/>
        <v>100</v>
      </c>
      <c r="K99" s="4">
        <f t="shared" si="18"/>
        <v>2784.1081150606951</v>
      </c>
      <c r="L99" s="4">
        <f t="shared" si="19"/>
        <v>1048.9170588708419</v>
      </c>
      <c r="M99" s="4">
        <f t="shared" si="17"/>
        <v>1735.1910561898533</v>
      </c>
      <c r="N99" s="4">
        <f t="shared" si="20"/>
        <v>415396.93642669392</v>
      </c>
      <c r="O99" s="4">
        <f t="shared" si="21"/>
        <v>188239.53170264189</v>
      </c>
    </row>
    <row r="100" spans="6:15" x14ac:dyDescent="0.2">
      <c r="F100">
        <v>99</v>
      </c>
      <c r="G100" s="2">
        <f t="shared" si="13"/>
        <v>48395</v>
      </c>
      <c r="H100" s="4">
        <f t="shared" si="14"/>
        <v>415396.93642669392</v>
      </c>
      <c r="I100" s="4">
        <f t="shared" si="15"/>
        <v>2684.1081150606951</v>
      </c>
      <c r="J100" s="4">
        <f t="shared" si="16"/>
        <v>100</v>
      </c>
      <c r="K100" s="4">
        <f t="shared" si="18"/>
        <v>2784.1081150606951</v>
      </c>
      <c r="L100" s="4">
        <f t="shared" si="19"/>
        <v>1053.287546616137</v>
      </c>
      <c r="M100" s="4">
        <f t="shared" si="17"/>
        <v>1730.8205684445581</v>
      </c>
      <c r="N100" s="4">
        <f t="shared" si="20"/>
        <v>414343.64888007776</v>
      </c>
      <c r="O100" s="4">
        <f t="shared" si="21"/>
        <v>189970.35227108645</v>
      </c>
    </row>
    <row r="101" spans="6:15" x14ac:dyDescent="0.2">
      <c r="F101">
        <v>100</v>
      </c>
      <c r="G101" s="2">
        <f t="shared" si="13"/>
        <v>48426</v>
      </c>
      <c r="H101" s="4">
        <f t="shared" si="14"/>
        <v>414343.64888007776</v>
      </c>
      <c r="I101" s="4">
        <f t="shared" si="15"/>
        <v>2684.1081150606951</v>
      </c>
      <c r="J101" s="4">
        <f t="shared" si="16"/>
        <v>100</v>
      </c>
      <c r="K101" s="4">
        <f t="shared" si="18"/>
        <v>2784.1081150606951</v>
      </c>
      <c r="L101" s="4">
        <f t="shared" si="19"/>
        <v>1057.6762447270376</v>
      </c>
      <c r="M101" s="4">
        <f t="shared" si="17"/>
        <v>1726.4318703336576</v>
      </c>
      <c r="N101" s="4">
        <f t="shared" si="20"/>
        <v>413285.97263535071</v>
      </c>
      <c r="O101" s="4">
        <f t="shared" si="21"/>
        <v>191696.7841414201</v>
      </c>
    </row>
    <row r="102" spans="6:15" x14ac:dyDescent="0.2">
      <c r="F102">
        <v>101</v>
      </c>
      <c r="G102" s="2">
        <f t="shared" si="13"/>
        <v>48457</v>
      </c>
      <c r="H102" s="4">
        <f t="shared" si="14"/>
        <v>413285.97263535071</v>
      </c>
      <c r="I102" s="4">
        <f t="shared" si="15"/>
        <v>2684.1081150606951</v>
      </c>
      <c r="J102" s="4">
        <f t="shared" si="16"/>
        <v>100</v>
      </c>
      <c r="K102" s="4">
        <f t="shared" si="18"/>
        <v>2784.1081150606951</v>
      </c>
      <c r="L102" s="4">
        <f t="shared" si="19"/>
        <v>1062.083229080067</v>
      </c>
      <c r="M102" s="4">
        <f t="shared" si="17"/>
        <v>1722.0248859806281</v>
      </c>
      <c r="N102" s="4">
        <f t="shared" si="20"/>
        <v>412223.88940627064</v>
      </c>
      <c r="O102" s="4">
        <f t="shared" si="21"/>
        <v>193418.80902740071</v>
      </c>
    </row>
    <row r="103" spans="6:15" x14ac:dyDescent="0.2">
      <c r="F103">
        <v>102</v>
      </c>
      <c r="G103" s="2">
        <f t="shared" si="13"/>
        <v>48487</v>
      </c>
      <c r="H103" s="4">
        <f t="shared" si="14"/>
        <v>412223.88940627064</v>
      </c>
      <c r="I103" s="4">
        <f t="shared" si="15"/>
        <v>2684.1081150606951</v>
      </c>
      <c r="J103" s="4">
        <f t="shared" si="16"/>
        <v>100</v>
      </c>
      <c r="K103" s="4">
        <f t="shared" si="18"/>
        <v>2784.1081150606951</v>
      </c>
      <c r="L103" s="4">
        <f t="shared" si="19"/>
        <v>1066.5085758679006</v>
      </c>
      <c r="M103" s="4">
        <f t="shared" si="17"/>
        <v>1717.5995391927945</v>
      </c>
      <c r="N103" s="4">
        <f t="shared" si="20"/>
        <v>411157.38083040272</v>
      </c>
      <c r="O103" s="4">
        <f t="shared" si="21"/>
        <v>195136.40856659351</v>
      </c>
    </row>
    <row r="104" spans="6:15" x14ac:dyDescent="0.2">
      <c r="F104">
        <v>103</v>
      </c>
      <c r="G104" s="2">
        <f t="shared" si="13"/>
        <v>48518</v>
      </c>
      <c r="H104" s="4">
        <f t="shared" si="14"/>
        <v>411157.38083040272</v>
      </c>
      <c r="I104" s="4">
        <f t="shared" si="15"/>
        <v>2684.1081150606951</v>
      </c>
      <c r="J104" s="4">
        <f t="shared" si="16"/>
        <v>100</v>
      </c>
      <c r="K104" s="4">
        <f t="shared" si="18"/>
        <v>2784.1081150606951</v>
      </c>
      <c r="L104" s="4">
        <f t="shared" si="19"/>
        <v>1070.9523616006836</v>
      </c>
      <c r="M104" s="4">
        <f t="shared" si="17"/>
        <v>1713.1557534600115</v>
      </c>
      <c r="N104" s="4">
        <f t="shared" si="20"/>
        <v>410086.42846880201</v>
      </c>
      <c r="O104" s="4">
        <f t="shared" si="21"/>
        <v>196849.56432005353</v>
      </c>
    </row>
    <row r="105" spans="6:15" x14ac:dyDescent="0.2">
      <c r="F105">
        <v>104</v>
      </c>
      <c r="G105" s="2">
        <f t="shared" si="13"/>
        <v>48548</v>
      </c>
      <c r="H105" s="4">
        <f t="shared" si="14"/>
        <v>410086.42846880201</v>
      </c>
      <c r="I105" s="4">
        <f t="shared" si="15"/>
        <v>2684.1081150606951</v>
      </c>
      <c r="J105" s="4">
        <f t="shared" si="16"/>
        <v>100</v>
      </c>
      <c r="K105" s="4">
        <f t="shared" si="18"/>
        <v>2784.1081150606951</v>
      </c>
      <c r="L105" s="4">
        <f t="shared" si="19"/>
        <v>1075.4146631073534</v>
      </c>
      <c r="M105" s="4">
        <f t="shared" si="17"/>
        <v>1708.6934519533418</v>
      </c>
      <c r="N105" s="4">
        <f t="shared" si="20"/>
        <v>409011.01380569465</v>
      </c>
      <c r="O105" s="4">
        <f t="shared" si="21"/>
        <v>198558.25777200688</v>
      </c>
    </row>
    <row r="106" spans="6:15" x14ac:dyDescent="0.2">
      <c r="F106">
        <v>105</v>
      </c>
      <c r="G106" s="2">
        <f t="shared" si="13"/>
        <v>48579</v>
      </c>
      <c r="H106" s="4">
        <f t="shared" si="14"/>
        <v>409011.01380569465</v>
      </c>
      <c r="I106" s="4">
        <f t="shared" si="15"/>
        <v>2684.1081150606951</v>
      </c>
      <c r="J106" s="4">
        <f t="shared" si="16"/>
        <v>100</v>
      </c>
      <c r="K106" s="4">
        <f t="shared" si="18"/>
        <v>2784.1081150606951</v>
      </c>
      <c r="L106" s="4">
        <f t="shared" si="19"/>
        <v>1079.8955575369673</v>
      </c>
      <c r="M106" s="4">
        <f t="shared" si="17"/>
        <v>1704.2125575237278</v>
      </c>
      <c r="N106" s="4">
        <f t="shared" si="20"/>
        <v>407931.11824815767</v>
      </c>
      <c r="O106" s="4">
        <f t="shared" si="21"/>
        <v>200262.4703295306</v>
      </c>
    </row>
    <row r="107" spans="6:15" x14ac:dyDescent="0.2">
      <c r="F107">
        <v>106</v>
      </c>
      <c r="G107" s="2">
        <f t="shared" si="13"/>
        <v>48610</v>
      </c>
      <c r="H107" s="4">
        <f t="shared" si="14"/>
        <v>407931.11824815767</v>
      </c>
      <c r="I107" s="4">
        <f t="shared" si="15"/>
        <v>2684.1081150606951</v>
      </c>
      <c r="J107" s="4">
        <f t="shared" si="16"/>
        <v>100</v>
      </c>
      <c r="K107" s="4">
        <f t="shared" si="18"/>
        <v>2784.1081150606951</v>
      </c>
      <c r="L107" s="4">
        <f t="shared" si="19"/>
        <v>1084.3951223600379</v>
      </c>
      <c r="M107" s="4">
        <f t="shared" si="17"/>
        <v>1699.7129927006572</v>
      </c>
      <c r="N107" s="4">
        <f t="shared" si="20"/>
        <v>406846.72312579764</v>
      </c>
      <c r="O107" s="4">
        <f t="shared" si="21"/>
        <v>201962.18332223126</v>
      </c>
    </row>
    <row r="108" spans="6:15" x14ac:dyDescent="0.2">
      <c r="F108">
        <v>107</v>
      </c>
      <c r="G108" s="2">
        <f t="shared" si="13"/>
        <v>48638</v>
      </c>
      <c r="H108" s="4">
        <f t="shared" si="14"/>
        <v>406846.72312579764</v>
      </c>
      <c r="I108" s="4">
        <f t="shared" si="15"/>
        <v>2684.1081150606951</v>
      </c>
      <c r="J108" s="4">
        <f t="shared" si="16"/>
        <v>100</v>
      </c>
      <c r="K108" s="4">
        <f t="shared" si="18"/>
        <v>2784.1081150606951</v>
      </c>
      <c r="L108" s="4">
        <f t="shared" si="19"/>
        <v>1088.9134353698716</v>
      </c>
      <c r="M108" s="4">
        <f t="shared" si="17"/>
        <v>1695.1946796908235</v>
      </c>
      <c r="N108" s="4">
        <f t="shared" si="20"/>
        <v>405757.80969042779</v>
      </c>
      <c r="O108" s="4">
        <f t="shared" si="21"/>
        <v>203657.37800192207</v>
      </c>
    </row>
    <row r="109" spans="6:15" x14ac:dyDescent="0.2">
      <c r="F109">
        <v>108</v>
      </c>
      <c r="G109" s="2">
        <f t="shared" si="13"/>
        <v>48669</v>
      </c>
      <c r="H109" s="4">
        <f t="shared" si="14"/>
        <v>405757.80969042779</v>
      </c>
      <c r="I109" s="4">
        <f t="shared" si="15"/>
        <v>2684.1081150606951</v>
      </c>
      <c r="J109" s="4">
        <f t="shared" si="16"/>
        <v>100</v>
      </c>
      <c r="K109" s="4">
        <f t="shared" si="18"/>
        <v>2784.1081150606951</v>
      </c>
      <c r="L109" s="4">
        <f t="shared" si="19"/>
        <v>1093.4505746839125</v>
      </c>
      <c r="M109" s="4">
        <f t="shared" si="17"/>
        <v>1690.6575403767827</v>
      </c>
      <c r="N109" s="4">
        <f t="shared" si="20"/>
        <v>404664.35911574389</v>
      </c>
      <c r="O109" s="4">
        <f t="shared" si="21"/>
        <v>205348.03554229887</v>
      </c>
    </row>
    <row r="110" spans="6:15" x14ac:dyDescent="0.2">
      <c r="F110">
        <v>109</v>
      </c>
      <c r="G110" s="2">
        <f t="shared" si="13"/>
        <v>48699</v>
      </c>
      <c r="H110" s="4">
        <f t="shared" si="14"/>
        <v>404664.35911574389</v>
      </c>
      <c r="I110" s="4">
        <f t="shared" si="15"/>
        <v>2684.1081150606951</v>
      </c>
      <c r="J110" s="4">
        <f t="shared" si="16"/>
        <v>100</v>
      </c>
      <c r="K110" s="4">
        <f t="shared" si="18"/>
        <v>2784.1081150606951</v>
      </c>
      <c r="L110" s="4">
        <f t="shared" si="19"/>
        <v>1098.0066187450955</v>
      </c>
      <c r="M110" s="4">
        <f t="shared" si="17"/>
        <v>1686.1014963155997</v>
      </c>
      <c r="N110" s="4">
        <f t="shared" si="20"/>
        <v>403566.35249699879</v>
      </c>
      <c r="O110" s="4">
        <f t="shared" si="21"/>
        <v>207034.13703861446</v>
      </c>
    </row>
    <row r="111" spans="6:15" x14ac:dyDescent="0.2">
      <c r="F111">
        <v>110</v>
      </c>
      <c r="G111" s="2">
        <f t="shared" si="13"/>
        <v>48730</v>
      </c>
      <c r="H111" s="4">
        <f t="shared" si="14"/>
        <v>403566.35249699879</v>
      </c>
      <c r="I111" s="4">
        <f t="shared" si="15"/>
        <v>2684.1081150606951</v>
      </c>
      <c r="J111" s="4">
        <f t="shared" si="16"/>
        <v>100</v>
      </c>
      <c r="K111" s="4">
        <f t="shared" si="18"/>
        <v>2784.1081150606951</v>
      </c>
      <c r="L111" s="4">
        <f t="shared" si="19"/>
        <v>1102.5816463232002</v>
      </c>
      <c r="M111" s="4">
        <f t="shared" si="17"/>
        <v>1681.526468737495</v>
      </c>
      <c r="N111" s="4">
        <f t="shared" si="20"/>
        <v>402463.77085067559</v>
      </c>
      <c r="O111" s="4">
        <f t="shared" si="21"/>
        <v>208715.66350735194</v>
      </c>
    </row>
    <row r="112" spans="6:15" x14ac:dyDescent="0.2">
      <c r="F112">
        <v>111</v>
      </c>
      <c r="G112" s="2">
        <f t="shared" si="13"/>
        <v>48760</v>
      </c>
      <c r="H112" s="4">
        <f t="shared" si="14"/>
        <v>402463.77085067559</v>
      </c>
      <c r="I112" s="4">
        <f t="shared" si="15"/>
        <v>2684.1081150606951</v>
      </c>
      <c r="J112" s="4">
        <f t="shared" si="16"/>
        <v>100</v>
      </c>
      <c r="K112" s="4">
        <f t="shared" si="18"/>
        <v>2784.1081150606951</v>
      </c>
      <c r="L112" s="4">
        <f t="shared" si="19"/>
        <v>1107.1757365162132</v>
      </c>
      <c r="M112" s="4">
        <f t="shared" si="17"/>
        <v>1676.9323785444819</v>
      </c>
      <c r="N112" s="4">
        <f t="shared" si="20"/>
        <v>401356.5951141594</v>
      </c>
      <c r="O112" s="4">
        <f t="shared" si="21"/>
        <v>210392.59588589641</v>
      </c>
    </row>
    <row r="113" spans="6:15" x14ac:dyDescent="0.2">
      <c r="F113">
        <v>112</v>
      </c>
      <c r="G113" s="2">
        <f t="shared" si="13"/>
        <v>48791</v>
      </c>
      <c r="H113" s="4">
        <f t="shared" si="14"/>
        <v>401356.5951141594</v>
      </c>
      <c r="I113" s="4">
        <f t="shared" si="15"/>
        <v>2684.1081150606951</v>
      </c>
      <c r="J113" s="4">
        <f t="shared" si="16"/>
        <v>100</v>
      </c>
      <c r="K113" s="4">
        <f t="shared" si="18"/>
        <v>2784.1081150606951</v>
      </c>
      <c r="L113" s="4">
        <f t="shared" si="19"/>
        <v>1111.7889687516974</v>
      </c>
      <c r="M113" s="4">
        <f t="shared" si="17"/>
        <v>1672.3191463089977</v>
      </c>
      <c r="N113" s="4">
        <f t="shared" si="20"/>
        <v>400244.80614540773</v>
      </c>
      <c r="O113" s="4">
        <f t="shared" si="21"/>
        <v>212064.9150322054</v>
      </c>
    </row>
    <row r="114" spans="6:15" x14ac:dyDescent="0.2">
      <c r="F114">
        <v>113</v>
      </c>
      <c r="G114" s="2">
        <f t="shared" si="13"/>
        <v>48822</v>
      </c>
      <c r="H114" s="4">
        <f t="shared" si="14"/>
        <v>400244.80614540773</v>
      </c>
      <c r="I114" s="4">
        <f t="shared" si="15"/>
        <v>2684.1081150606951</v>
      </c>
      <c r="J114" s="4">
        <f t="shared" si="16"/>
        <v>100</v>
      </c>
      <c r="K114" s="4">
        <f t="shared" si="18"/>
        <v>2784.1081150606951</v>
      </c>
      <c r="L114" s="4">
        <f t="shared" si="19"/>
        <v>1116.4214227881628</v>
      </c>
      <c r="M114" s="4">
        <f t="shared" si="17"/>
        <v>1667.6866922725324</v>
      </c>
      <c r="N114" s="4">
        <f t="shared" si="20"/>
        <v>399128.38472261955</v>
      </c>
      <c r="O114" s="4">
        <f t="shared" si="21"/>
        <v>213732.60172447795</v>
      </c>
    </row>
    <row r="115" spans="6:15" x14ac:dyDescent="0.2">
      <c r="F115">
        <v>114</v>
      </c>
      <c r="G115" s="2">
        <f t="shared" si="13"/>
        <v>48852</v>
      </c>
      <c r="H115" s="4">
        <f t="shared" si="14"/>
        <v>399128.38472261955</v>
      </c>
      <c r="I115" s="4">
        <f t="shared" si="15"/>
        <v>2684.1081150606951</v>
      </c>
      <c r="J115" s="4">
        <f t="shared" si="16"/>
        <v>100</v>
      </c>
      <c r="K115" s="4">
        <f t="shared" si="18"/>
        <v>2784.1081150606951</v>
      </c>
      <c r="L115" s="4">
        <f t="shared" si="19"/>
        <v>1121.0731787164468</v>
      </c>
      <c r="M115" s="4">
        <f t="shared" si="17"/>
        <v>1663.0349363442483</v>
      </c>
      <c r="N115" s="4">
        <f t="shared" si="20"/>
        <v>398007.31154390308</v>
      </c>
      <c r="O115" s="4">
        <f t="shared" si="21"/>
        <v>215395.6366608222</v>
      </c>
    </row>
    <row r="116" spans="6:15" x14ac:dyDescent="0.2">
      <c r="F116">
        <v>115</v>
      </c>
      <c r="G116" s="2">
        <f t="shared" si="13"/>
        <v>48883</v>
      </c>
      <c r="H116" s="4">
        <f t="shared" si="14"/>
        <v>398007.31154390308</v>
      </c>
      <c r="I116" s="4">
        <f t="shared" si="15"/>
        <v>2684.1081150606951</v>
      </c>
      <c r="J116" s="4">
        <f t="shared" si="16"/>
        <v>100</v>
      </c>
      <c r="K116" s="4">
        <f t="shared" si="18"/>
        <v>2784.1081150606951</v>
      </c>
      <c r="L116" s="4">
        <f t="shared" si="19"/>
        <v>1125.7443169610988</v>
      </c>
      <c r="M116" s="4">
        <f t="shared" si="17"/>
        <v>1658.3637980995964</v>
      </c>
      <c r="N116" s="4">
        <f t="shared" si="20"/>
        <v>396881.56722694199</v>
      </c>
      <c r="O116" s="4">
        <f t="shared" si="21"/>
        <v>217054.0004589218</v>
      </c>
    </row>
    <row r="117" spans="6:15" x14ac:dyDescent="0.2">
      <c r="F117">
        <v>116</v>
      </c>
      <c r="G117" s="2">
        <f t="shared" si="13"/>
        <v>48913</v>
      </c>
      <c r="H117" s="4">
        <f t="shared" si="14"/>
        <v>396881.56722694199</v>
      </c>
      <c r="I117" s="4">
        <f t="shared" si="15"/>
        <v>2684.1081150606951</v>
      </c>
      <c r="J117" s="4">
        <f t="shared" si="16"/>
        <v>100</v>
      </c>
      <c r="K117" s="4">
        <f t="shared" si="18"/>
        <v>2784.1081150606951</v>
      </c>
      <c r="L117" s="4">
        <f t="shared" si="19"/>
        <v>1130.4349182817703</v>
      </c>
      <c r="M117" s="4">
        <f t="shared" si="17"/>
        <v>1653.6731967789249</v>
      </c>
      <c r="N117" s="4">
        <f t="shared" si="20"/>
        <v>395751.13230866019</v>
      </c>
      <c r="O117" s="4">
        <f t="shared" si="21"/>
        <v>218707.67365570072</v>
      </c>
    </row>
    <row r="118" spans="6:15" x14ac:dyDescent="0.2">
      <c r="F118">
        <v>117</v>
      </c>
      <c r="G118" s="2">
        <f t="shared" si="13"/>
        <v>48944</v>
      </c>
      <c r="H118" s="4">
        <f t="shared" si="14"/>
        <v>395751.13230866019</v>
      </c>
      <c r="I118" s="4">
        <f t="shared" si="15"/>
        <v>2684.1081150606951</v>
      </c>
      <c r="J118" s="4">
        <f t="shared" si="16"/>
        <v>100</v>
      </c>
      <c r="K118" s="4">
        <f t="shared" si="18"/>
        <v>2784.1081150606951</v>
      </c>
      <c r="L118" s="4">
        <f t="shared" si="19"/>
        <v>1135.1450637746109</v>
      </c>
      <c r="M118" s="4">
        <f t="shared" si="17"/>
        <v>1648.9630512860842</v>
      </c>
      <c r="N118" s="4">
        <f t="shared" si="20"/>
        <v>394615.98724488559</v>
      </c>
      <c r="O118" s="4">
        <f t="shared" si="21"/>
        <v>220356.63670698681</v>
      </c>
    </row>
    <row r="119" spans="6:15" x14ac:dyDescent="0.2">
      <c r="F119">
        <v>118</v>
      </c>
      <c r="G119" s="2">
        <f t="shared" si="13"/>
        <v>48975</v>
      </c>
      <c r="H119" s="4">
        <f t="shared" si="14"/>
        <v>394615.98724488559</v>
      </c>
      <c r="I119" s="4">
        <f t="shared" si="15"/>
        <v>2684.1081150606951</v>
      </c>
      <c r="J119" s="4">
        <f t="shared" si="16"/>
        <v>100</v>
      </c>
      <c r="K119" s="4">
        <f t="shared" si="18"/>
        <v>2784.1081150606951</v>
      </c>
      <c r="L119" s="4">
        <f t="shared" si="19"/>
        <v>1139.8748348736717</v>
      </c>
      <c r="M119" s="4">
        <f t="shared" si="17"/>
        <v>1644.2332801870234</v>
      </c>
      <c r="N119" s="4">
        <f t="shared" si="20"/>
        <v>393476.11241001193</v>
      </c>
      <c r="O119" s="4">
        <f t="shared" si="21"/>
        <v>222000.86998717385</v>
      </c>
    </row>
    <row r="120" spans="6:15" x14ac:dyDescent="0.2">
      <c r="F120">
        <v>119</v>
      </c>
      <c r="G120" s="2">
        <f t="shared" si="13"/>
        <v>49003</v>
      </c>
      <c r="H120" s="4">
        <f t="shared" si="14"/>
        <v>393476.11241001193</v>
      </c>
      <c r="I120" s="4">
        <f t="shared" si="15"/>
        <v>2684.1081150606951</v>
      </c>
      <c r="J120" s="4">
        <f t="shared" si="16"/>
        <v>100</v>
      </c>
      <c r="K120" s="4">
        <f t="shared" si="18"/>
        <v>2784.1081150606951</v>
      </c>
      <c r="L120" s="4">
        <f t="shared" si="19"/>
        <v>1144.6243133523119</v>
      </c>
      <c r="M120" s="4">
        <f t="shared" si="17"/>
        <v>1639.4838017083832</v>
      </c>
      <c r="N120" s="4">
        <f t="shared" si="20"/>
        <v>392331.4880966596</v>
      </c>
      <c r="O120" s="4">
        <f t="shared" si="21"/>
        <v>223640.35378888223</v>
      </c>
    </row>
    <row r="121" spans="6:15" x14ac:dyDescent="0.2">
      <c r="F121">
        <v>120</v>
      </c>
      <c r="G121" s="2">
        <f t="shared" si="13"/>
        <v>49034</v>
      </c>
      <c r="H121" s="4">
        <f t="shared" si="14"/>
        <v>392331.4880966596</v>
      </c>
      <c r="I121" s="4">
        <f t="shared" si="15"/>
        <v>2684.1081150606951</v>
      </c>
      <c r="J121" s="4">
        <f t="shared" si="16"/>
        <v>100</v>
      </c>
      <c r="K121" s="4">
        <f t="shared" si="18"/>
        <v>2784.1081150606951</v>
      </c>
      <c r="L121" s="4">
        <f t="shared" si="19"/>
        <v>1149.3935813246135</v>
      </c>
      <c r="M121" s="4">
        <f t="shared" si="17"/>
        <v>1634.7145337360816</v>
      </c>
      <c r="N121" s="4">
        <f t="shared" si="20"/>
        <v>391182.09451533499</v>
      </c>
      <c r="O121" s="4">
        <f t="shared" si="21"/>
        <v>225275.06832261832</v>
      </c>
    </row>
    <row r="122" spans="6:15" x14ac:dyDescent="0.2">
      <c r="F122">
        <v>121</v>
      </c>
      <c r="G122" s="2">
        <f t="shared" si="13"/>
        <v>49064</v>
      </c>
      <c r="H122" s="4">
        <f t="shared" si="14"/>
        <v>391182.09451533499</v>
      </c>
      <c r="I122" s="4">
        <f t="shared" si="15"/>
        <v>2684.1081150606951</v>
      </c>
      <c r="J122" s="4">
        <f t="shared" si="16"/>
        <v>100</v>
      </c>
      <c r="K122" s="4">
        <f t="shared" si="18"/>
        <v>2784.1081150606951</v>
      </c>
      <c r="L122" s="4">
        <f t="shared" si="19"/>
        <v>1154.1827212467995</v>
      </c>
      <c r="M122" s="4">
        <f t="shared" si="17"/>
        <v>1629.9253938138957</v>
      </c>
      <c r="N122" s="4">
        <f t="shared" si="20"/>
        <v>390027.9117940882</v>
      </c>
      <c r="O122" s="4">
        <f t="shared" si="21"/>
        <v>226904.99371643222</v>
      </c>
    </row>
    <row r="123" spans="6:15" x14ac:dyDescent="0.2">
      <c r="F123">
        <v>122</v>
      </c>
      <c r="G123" s="2">
        <f t="shared" si="13"/>
        <v>49095</v>
      </c>
      <c r="H123" s="4">
        <f t="shared" si="14"/>
        <v>390027.9117940882</v>
      </c>
      <c r="I123" s="4">
        <f t="shared" si="15"/>
        <v>2684.1081150606951</v>
      </c>
      <c r="J123" s="4">
        <f t="shared" si="16"/>
        <v>100</v>
      </c>
      <c r="K123" s="4">
        <f t="shared" si="18"/>
        <v>2784.1081150606951</v>
      </c>
      <c r="L123" s="4">
        <f t="shared" si="19"/>
        <v>1158.9918159186609</v>
      </c>
      <c r="M123" s="4">
        <f t="shared" si="17"/>
        <v>1625.1162991420342</v>
      </c>
      <c r="N123" s="4">
        <f t="shared" si="20"/>
        <v>388868.91997816955</v>
      </c>
      <c r="O123" s="4">
        <f t="shared" si="21"/>
        <v>228530.11001557426</v>
      </c>
    </row>
    <row r="124" spans="6:15" x14ac:dyDescent="0.2">
      <c r="F124">
        <v>123</v>
      </c>
      <c r="G124" s="2">
        <f t="shared" si="13"/>
        <v>49125</v>
      </c>
      <c r="H124" s="4">
        <f t="shared" si="14"/>
        <v>388868.91997816955</v>
      </c>
      <c r="I124" s="4">
        <f t="shared" si="15"/>
        <v>2684.1081150606951</v>
      </c>
      <c r="J124" s="4">
        <f t="shared" si="16"/>
        <v>100</v>
      </c>
      <c r="K124" s="4">
        <f t="shared" si="18"/>
        <v>2784.1081150606951</v>
      </c>
      <c r="L124" s="4">
        <f t="shared" si="19"/>
        <v>1163.8209484849885</v>
      </c>
      <c r="M124" s="4">
        <f t="shared" si="17"/>
        <v>1620.2871665757066</v>
      </c>
      <c r="N124" s="4">
        <f t="shared" si="20"/>
        <v>387705.09902968456</v>
      </c>
      <c r="O124" s="4">
        <f t="shared" si="21"/>
        <v>230150.39718214996</v>
      </c>
    </row>
    <row r="125" spans="6:15" x14ac:dyDescent="0.2">
      <c r="F125">
        <v>124</v>
      </c>
      <c r="G125" s="2">
        <f t="shared" si="13"/>
        <v>49156</v>
      </c>
      <c r="H125" s="4">
        <f t="shared" si="14"/>
        <v>387705.09902968456</v>
      </c>
      <c r="I125" s="4">
        <f t="shared" si="15"/>
        <v>2684.1081150606951</v>
      </c>
      <c r="J125" s="4">
        <f t="shared" si="16"/>
        <v>100</v>
      </c>
      <c r="K125" s="4">
        <f t="shared" si="18"/>
        <v>2784.1081150606951</v>
      </c>
      <c r="L125" s="4">
        <f t="shared" si="19"/>
        <v>1168.6702024370095</v>
      </c>
      <c r="M125" s="4">
        <f t="shared" si="17"/>
        <v>1615.4379126236856</v>
      </c>
      <c r="N125" s="4">
        <f t="shared" si="20"/>
        <v>386536.42882724752</v>
      </c>
      <c r="O125" s="4">
        <f t="shared" si="21"/>
        <v>231765.83509477365</v>
      </c>
    </row>
    <row r="126" spans="6:15" x14ac:dyDescent="0.2">
      <c r="F126">
        <v>125</v>
      </c>
      <c r="G126" s="2">
        <f t="shared" si="13"/>
        <v>49187</v>
      </c>
      <c r="H126" s="4">
        <f t="shared" si="14"/>
        <v>386536.42882724752</v>
      </c>
      <c r="I126" s="4">
        <f t="shared" si="15"/>
        <v>2684.1081150606951</v>
      </c>
      <c r="J126" s="4">
        <f t="shared" si="16"/>
        <v>100</v>
      </c>
      <c r="K126" s="4">
        <f t="shared" si="18"/>
        <v>2784.1081150606951</v>
      </c>
      <c r="L126" s="4">
        <f t="shared" si="19"/>
        <v>1173.5396616138305</v>
      </c>
      <c r="M126" s="4">
        <f t="shared" si="17"/>
        <v>1610.5684534468646</v>
      </c>
      <c r="N126" s="4">
        <f t="shared" si="20"/>
        <v>385362.88916563371</v>
      </c>
      <c r="O126" s="4">
        <f t="shared" si="21"/>
        <v>233376.40354822052</v>
      </c>
    </row>
    <row r="127" spans="6:15" x14ac:dyDescent="0.2">
      <c r="F127">
        <v>126</v>
      </c>
      <c r="G127" s="2">
        <f t="shared" si="13"/>
        <v>49217</v>
      </c>
      <c r="H127" s="4">
        <f t="shared" si="14"/>
        <v>385362.88916563371</v>
      </c>
      <c r="I127" s="4">
        <f t="shared" si="15"/>
        <v>2684.1081150606951</v>
      </c>
      <c r="J127" s="4">
        <f t="shared" si="16"/>
        <v>100</v>
      </c>
      <c r="K127" s="4">
        <f t="shared" si="18"/>
        <v>2784.1081150606951</v>
      </c>
      <c r="L127" s="4">
        <f t="shared" si="19"/>
        <v>1178.4294102038878</v>
      </c>
      <c r="M127" s="4">
        <f t="shared" si="17"/>
        <v>1605.6787048568074</v>
      </c>
      <c r="N127" s="4">
        <f t="shared" si="20"/>
        <v>384184.45975542982</v>
      </c>
      <c r="O127" s="4">
        <f t="shared" si="21"/>
        <v>234982.08225307733</v>
      </c>
    </row>
    <row r="128" spans="6:15" x14ac:dyDescent="0.2">
      <c r="F128">
        <v>127</v>
      </c>
      <c r="G128" s="2">
        <f t="shared" si="13"/>
        <v>49248</v>
      </c>
      <c r="H128" s="4">
        <f t="shared" si="14"/>
        <v>384184.45975542982</v>
      </c>
      <c r="I128" s="4">
        <f t="shared" si="15"/>
        <v>2684.1081150606951</v>
      </c>
      <c r="J128" s="4">
        <f t="shared" si="16"/>
        <v>100</v>
      </c>
      <c r="K128" s="4">
        <f t="shared" si="18"/>
        <v>2784.1081150606951</v>
      </c>
      <c r="L128" s="4">
        <f t="shared" si="19"/>
        <v>1183.3395327464041</v>
      </c>
      <c r="M128" s="4">
        <f t="shared" si="17"/>
        <v>1600.7685823142911</v>
      </c>
      <c r="N128" s="4">
        <f t="shared" si="20"/>
        <v>383001.12022268341</v>
      </c>
      <c r="O128" s="4">
        <f t="shared" si="21"/>
        <v>236582.85083539161</v>
      </c>
    </row>
    <row r="129" spans="6:15" x14ac:dyDescent="0.2">
      <c r="F129">
        <v>128</v>
      </c>
      <c r="G129" s="2">
        <f t="shared" si="13"/>
        <v>49278</v>
      </c>
      <c r="H129" s="4">
        <f t="shared" si="14"/>
        <v>383001.12022268341</v>
      </c>
      <c r="I129" s="4">
        <f t="shared" si="15"/>
        <v>2684.1081150606951</v>
      </c>
      <c r="J129" s="4">
        <f t="shared" si="16"/>
        <v>100</v>
      </c>
      <c r="K129" s="4">
        <f t="shared" si="18"/>
        <v>2784.1081150606951</v>
      </c>
      <c r="L129" s="4">
        <f t="shared" si="19"/>
        <v>1188.2701141328473</v>
      </c>
      <c r="M129" s="4">
        <f t="shared" si="17"/>
        <v>1595.8380009278478</v>
      </c>
      <c r="N129" s="4">
        <f t="shared" si="20"/>
        <v>381812.85010855057</v>
      </c>
      <c r="O129" s="4">
        <f t="shared" si="21"/>
        <v>238178.68883631946</v>
      </c>
    </row>
    <row r="130" spans="6:15" x14ac:dyDescent="0.2">
      <c r="F130">
        <v>129</v>
      </c>
      <c r="G130" s="2">
        <f t="shared" ref="G130:G193" si="22">IF(F130 &lt;&gt; "", EOMONTH(D$7, ROW() - 1 - 1), "")</f>
        <v>49309</v>
      </c>
      <c r="H130" s="4">
        <f t="shared" ref="H130:H193" si="23">IF(F130&lt;&gt;"", IF(F130 = 1, D$3, N129),  "")</f>
        <v>381812.85010855057</v>
      </c>
      <c r="I130" s="4">
        <f t="shared" ref="I130:I193" si="24">IF(F130&lt;&gt;"", D$12, "")</f>
        <v>2684.1081150606951</v>
      </c>
      <c r="J130" s="4">
        <f t="shared" ref="J130:J193" si="25">IF(F130 &lt;&gt; "", D$8, "")</f>
        <v>100</v>
      </c>
      <c r="K130" s="4">
        <f t="shared" si="18"/>
        <v>2784.1081150606951</v>
      </c>
      <c r="L130" s="4">
        <f t="shared" si="19"/>
        <v>1193.2212396084012</v>
      </c>
      <c r="M130" s="4">
        <f t="shared" ref="M130:M193" si="26">IF(F130 &lt;&gt; "", H130 * D$4/D$6, "")</f>
        <v>1590.8868754522939</v>
      </c>
      <c r="N130" s="4">
        <f t="shared" si="20"/>
        <v>380619.62886894215</v>
      </c>
      <c r="O130" s="4">
        <f t="shared" si="21"/>
        <v>239769.57571177176</v>
      </c>
    </row>
    <row r="131" spans="6:15" x14ac:dyDescent="0.2">
      <c r="F131">
        <v>130</v>
      </c>
      <c r="G131" s="2">
        <f t="shared" si="22"/>
        <v>49340</v>
      </c>
      <c r="H131" s="4">
        <f t="shared" si="23"/>
        <v>380619.62886894215</v>
      </c>
      <c r="I131" s="4">
        <f t="shared" si="24"/>
        <v>2684.1081150606951</v>
      </c>
      <c r="J131" s="4">
        <f t="shared" si="25"/>
        <v>100</v>
      </c>
      <c r="K131" s="4">
        <f t="shared" si="18"/>
        <v>2784.1081150606951</v>
      </c>
      <c r="L131" s="4">
        <f t="shared" si="19"/>
        <v>1198.1929947734361</v>
      </c>
      <c r="M131" s="4">
        <f t="shared" si="26"/>
        <v>1585.915120287259</v>
      </c>
      <c r="N131" s="4">
        <f t="shared" si="20"/>
        <v>379421.4358741687</v>
      </c>
      <c r="O131" s="4">
        <f t="shared" si="21"/>
        <v>241355.490832059</v>
      </c>
    </row>
    <row r="132" spans="6:15" x14ac:dyDescent="0.2">
      <c r="F132">
        <v>131</v>
      </c>
      <c r="G132" s="2">
        <f t="shared" si="22"/>
        <v>49368</v>
      </c>
      <c r="H132" s="4">
        <f t="shared" si="23"/>
        <v>379421.4358741687</v>
      </c>
      <c r="I132" s="4">
        <f t="shared" si="24"/>
        <v>2684.1081150606951</v>
      </c>
      <c r="J132" s="4">
        <f t="shared" si="25"/>
        <v>100</v>
      </c>
      <c r="K132" s="4">
        <f t="shared" si="18"/>
        <v>2784.1081150606951</v>
      </c>
      <c r="L132" s="4">
        <f t="shared" si="19"/>
        <v>1203.185465584992</v>
      </c>
      <c r="M132" s="4">
        <f t="shared" si="26"/>
        <v>1580.9226494757031</v>
      </c>
      <c r="N132" s="4">
        <f t="shared" si="20"/>
        <v>378218.25040858373</v>
      </c>
      <c r="O132" s="4">
        <f t="shared" si="21"/>
        <v>242936.41348153472</v>
      </c>
    </row>
    <row r="133" spans="6:15" x14ac:dyDescent="0.2">
      <c r="F133">
        <v>132</v>
      </c>
      <c r="G133" s="2">
        <f t="shared" si="22"/>
        <v>49399</v>
      </c>
      <c r="H133" s="4">
        <f t="shared" si="23"/>
        <v>378218.25040858373</v>
      </c>
      <c r="I133" s="4">
        <f t="shared" si="24"/>
        <v>2684.1081150606951</v>
      </c>
      <c r="J133" s="4">
        <f t="shared" si="25"/>
        <v>100</v>
      </c>
      <c r="K133" s="4">
        <f t="shared" ref="K133:K196" si="27">IF(F133 &lt;&gt; "", I133+J133, "")</f>
        <v>2784.1081150606951</v>
      </c>
      <c r="L133" s="4">
        <f t="shared" ref="L133:L196" si="28">IF(F133&lt;&gt;"",K133-M133,"")</f>
        <v>1208.1987383582627</v>
      </c>
      <c r="M133" s="4">
        <f t="shared" si="26"/>
        <v>1575.9093767024324</v>
      </c>
      <c r="N133" s="4">
        <f t="shared" ref="N133:N196" si="29">IF(F133 &lt;&gt; "", IF(H133-L133 &lt; 0, 0, H133-L133), "")</f>
        <v>377010.05167022545</v>
      </c>
      <c r="O133" s="4">
        <f t="shared" ref="O133:O196" si="30">IF(F133&lt;&gt;"", IF(F133 = 1, 0, O132) + M133, "")</f>
        <v>244512.32285823717</v>
      </c>
    </row>
    <row r="134" spans="6:15" x14ac:dyDescent="0.2">
      <c r="F134">
        <v>133</v>
      </c>
      <c r="G134" s="2">
        <f t="shared" si="22"/>
        <v>49429</v>
      </c>
      <c r="H134" s="4">
        <f t="shared" si="23"/>
        <v>377010.05167022545</v>
      </c>
      <c r="I134" s="4">
        <f t="shared" si="24"/>
        <v>2684.1081150606951</v>
      </c>
      <c r="J134" s="4">
        <f t="shared" si="25"/>
        <v>100</v>
      </c>
      <c r="K134" s="4">
        <f t="shared" si="27"/>
        <v>2784.1081150606951</v>
      </c>
      <c r="L134" s="4">
        <f t="shared" si="28"/>
        <v>1213.2328997680891</v>
      </c>
      <c r="M134" s="4">
        <f t="shared" si="26"/>
        <v>1570.8752152926061</v>
      </c>
      <c r="N134" s="4">
        <f t="shared" si="29"/>
        <v>375796.81877045735</v>
      </c>
      <c r="O134" s="4">
        <f t="shared" si="30"/>
        <v>246083.19807352978</v>
      </c>
    </row>
    <row r="135" spans="6:15" x14ac:dyDescent="0.2">
      <c r="F135">
        <v>134</v>
      </c>
      <c r="G135" s="2">
        <f t="shared" si="22"/>
        <v>49460</v>
      </c>
      <c r="H135" s="4">
        <f t="shared" si="23"/>
        <v>375796.81877045735</v>
      </c>
      <c r="I135" s="4">
        <f t="shared" si="24"/>
        <v>2684.1081150606951</v>
      </c>
      <c r="J135" s="4">
        <f t="shared" si="25"/>
        <v>100</v>
      </c>
      <c r="K135" s="4">
        <f t="shared" si="27"/>
        <v>2784.1081150606951</v>
      </c>
      <c r="L135" s="4">
        <f t="shared" si="28"/>
        <v>1218.2880368504559</v>
      </c>
      <c r="M135" s="4">
        <f t="shared" si="26"/>
        <v>1565.8200782102392</v>
      </c>
      <c r="N135" s="4">
        <f t="shared" si="29"/>
        <v>374578.53073360689</v>
      </c>
      <c r="O135" s="4">
        <f t="shared" si="30"/>
        <v>247649.01815174002</v>
      </c>
    </row>
    <row r="136" spans="6:15" x14ac:dyDescent="0.2">
      <c r="F136">
        <v>135</v>
      </c>
      <c r="G136" s="2">
        <f t="shared" si="22"/>
        <v>49490</v>
      </c>
      <c r="H136" s="4">
        <f t="shared" si="23"/>
        <v>374578.53073360689</v>
      </c>
      <c r="I136" s="4">
        <f t="shared" si="24"/>
        <v>2684.1081150606951</v>
      </c>
      <c r="J136" s="4">
        <f t="shared" si="25"/>
        <v>100</v>
      </c>
      <c r="K136" s="4">
        <f t="shared" si="27"/>
        <v>2784.1081150606951</v>
      </c>
      <c r="L136" s="4">
        <f t="shared" si="28"/>
        <v>1223.3642370039997</v>
      </c>
      <c r="M136" s="4">
        <f t="shared" si="26"/>
        <v>1560.7438780566954</v>
      </c>
      <c r="N136" s="4">
        <f t="shared" si="29"/>
        <v>373355.16649660288</v>
      </c>
      <c r="O136" s="4">
        <f t="shared" si="30"/>
        <v>249209.76202979672</v>
      </c>
    </row>
    <row r="137" spans="6:15" x14ac:dyDescent="0.2">
      <c r="F137">
        <v>136</v>
      </c>
      <c r="G137" s="2">
        <f t="shared" si="22"/>
        <v>49521</v>
      </c>
      <c r="H137" s="4">
        <f t="shared" si="23"/>
        <v>373355.16649660288</v>
      </c>
      <c r="I137" s="4">
        <f t="shared" si="24"/>
        <v>2684.1081150606951</v>
      </c>
      <c r="J137" s="4">
        <f t="shared" si="25"/>
        <v>100</v>
      </c>
      <c r="K137" s="4">
        <f t="shared" si="27"/>
        <v>2784.1081150606951</v>
      </c>
      <c r="L137" s="4">
        <f t="shared" si="28"/>
        <v>1228.4615879915164</v>
      </c>
      <c r="M137" s="4">
        <f t="shared" si="26"/>
        <v>1555.6465270691788</v>
      </c>
      <c r="N137" s="4">
        <f t="shared" si="29"/>
        <v>372126.70490861137</v>
      </c>
      <c r="O137" s="4">
        <f t="shared" si="30"/>
        <v>250765.40855686591</v>
      </c>
    </row>
    <row r="138" spans="6:15" x14ac:dyDescent="0.2">
      <c r="F138">
        <v>137</v>
      </c>
      <c r="G138" s="2">
        <f t="shared" si="22"/>
        <v>49552</v>
      </c>
      <c r="H138" s="4">
        <f t="shared" si="23"/>
        <v>372126.70490861137</v>
      </c>
      <c r="I138" s="4">
        <f t="shared" si="24"/>
        <v>2684.1081150606951</v>
      </c>
      <c r="J138" s="4">
        <f t="shared" si="25"/>
        <v>100</v>
      </c>
      <c r="K138" s="4">
        <f t="shared" si="27"/>
        <v>2784.1081150606951</v>
      </c>
      <c r="L138" s="4">
        <f t="shared" si="28"/>
        <v>1233.5801779414812</v>
      </c>
      <c r="M138" s="4">
        <f t="shared" si="26"/>
        <v>1550.5279371192139</v>
      </c>
      <c r="N138" s="4">
        <f t="shared" si="29"/>
        <v>370893.12473066989</v>
      </c>
      <c r="O138" s="4">
        <f t="shared" si="30"/>
        <v>252315.93649398512</v>
      </c>
    </row>
    <row r="139" spans="6:15" x14ac:dyDescent="0.2">
      <c r="F139">
        <v>138</v>
      </c>
      <c r="G139" s="2">
        <f t="shared" si="22"/>
        <v>49582</v>
      </c>
      <c r="H139" s="4">
        <f t="shared" si="23"/>
        <v>370893.12473066989</v>
      </c>
      <c r="I139" s="4">
        <f t="shared" si="24"/>
        <v>2684.1081150606951</v>
      </c>
      <c r="J139" s="4">
        <f t="shared" si="25"/>
        <v>100</v>
      </c>
      <c r="K139" s="4">
        <f t="shared" si="27"/>
        <v>2784.1081150606951</v>
      </c>
      <c r="L139" s="4">
        <f t="shared" si="28"/>
        <v>1238.7200953495706</v>
      </c>
      <c r="M139" s="4">
        <f t="shared" si="26"/>
        <v>1545.3880197111246</v>
      </c>
      <c r="N139" s="4">
        <f t="shared" si="29"/>
        <v>369654.4046353203</v>
      </c>
      <c r="O139" s="4">
        <f t="shared" si="30"/>
        <v>253861.32451369625</v>
      </c>
    </row>
    <row r="140" spans="6:15" x14ac:dyDescent="0.2">
      <c r="F140">
        <v>139</v>
      </c>
      <c r="G140" s="2">
        <f t="shared" si="22"/>
        <v>49613</v>
      </c>
      <c r="H140" s="4">
        <f t="shared" si="23"/>
        <v>369654.4046353203</v>
      </c>
      <c r="I140" s="4">
        <f t="shared" si="24"/>
        <v>2684.1081150606951</v>
      </c>
      <c r="J140" s="4">
        <f t="shared" si="25"/>
        <v>100</v>
      </c>
      <c r="K140" s="4">
        <f t="shared" si="27"/>
        <v>2784.1081150606951</v>
      </c>
      <c r="L140" s="4">
        <f t="shared" si="28"/>
        <v>1243.8814290801938</v>
      </c>
      <c r="M140" s="4">
        <f t="shared" si="26"/>
        <v>1540.2266859805013</v>
      </c>
      <c r="N140" s="4">
        <f t="shared" si="29"/>
        <v>368410.52320624009</v>
      </c>
      <c r="O140" s="4">
        <f t="shared" si="30"/>
        <v>255401.55119967676</v>
      </c>
    </row>
    <row r="141" spans="6:15" x14ac:dyDescent="0.2">
      <c r="F141">
        <v>140</v>
      </c>
      <c r="G141" s="2">
        <f t="shared" si="22"/>
        <v>49643</v>
      </c>
      <c r="H141" s="4">
        <f t="shared" si="23"/>
        <v>368410.52320624009</v>
      </c>
      <c r="I141" s="4">
        <f t="shared" si="24"/>
        <v>2684.1081150606951</v>
      </c>
      <c r="J141" s="4">
        <f t="shared" si="25"/>
        <v>100</v>
      </c>
      <c r="K141" s="4">
        <f t="shared" si="27"/>
        <v>2784.1081150606951</v>
      </c>
      <c r="L141" s="4">
        <f t="shared" si="28"/>
        <v>1249.064268368028</v>
      </c>
      <c r="M141" s="4">
        <f t="shared" si="26"/>
        <v>1535.0438466926671</v>
      </c>
      <c r="N141" s="4">
        <f t="shared" si="29"/>
        <v>367161.45893787208</v>
      </c>
      <c r="O141" s="4">
        <f t="shared" si="30"/>
        <v>256936.59504636942</v>
      </c>
    </row>
    <row r="142" spans="6:15" x14ac:dyDescent="0.2">
      <c r="F142">
        <v>141</v>
      </c>
      <c r="G142" s="2">
        <f t="shared" si="22"/>
        <v>49674</v>
      </c>
      <c r="H142" s="4">
        <f t="shared" si="23"/>
        <v>367161.45893787208</v>
      </c>
      <c r="I142" s="4">
        <f t="shared" si="24"/>
        <v>2684.1081150606951</v>
      </c>
      <c r="J142" s="4">
        <f t="shared" si="25"/>
        <v>100</v>
      </c>
      <c r="K142" s="4">
        <f t="shared" si="27"/>
        <v>2784.1081150606951</v>
      </c>
      <c r="L142" s="4">
        <f t="shared" si="28"/>
        <v>1254.2687028195614</v>
      </c>
      <c r="M142" s="4">
        <f t="shared" si="26"/>
        <v>1529.8394122411337</v>
      </c>
      <c r="N142" s="4">
        <f t="shared" si="29"/>
        <v>365907.19023505255</v>
      </c>
      <c r="O142" s="4">
        <f t="shared" si="30"/>
        <v>258466.43445861054</v>
      </c>
    </row>
    <row r="143" spans="6:15" x14ac:dyDescent="0.2">
      <c r="F143">
        <v>142</v>
      </c>
      <c r="G143" s="2">
        <f t="shared" si="22"/>
        <v>49705</v>
      </c>
      <c r="H143" s="4">
        <f t="shared" si="23"/>
        <v>365907.19023505255</v>
      </c>
      <c r="I143" s="4">
        <f t="shared" si="24"/>
        <v>2684.1081150606951</v>
      </c>
      <c r="J143" s="4">
        <f t="shared" si="25"/>
        <v>100</v>
      </c>
      <c r="K143" s="4">
        <f t="shared" si="27"/>
        <v>2784.1081150606951</v>
      </c>
      <c r="L143" s="4">
        <f t="shared" si="28"/>
        <v>1259.4948224146428</v>
      </c>
      <c r="M143" s="4">
        <f t="shared" si="26"/>
        <v>1524.6132926460523</v>
      </c>
      <c r="N143" s="4">
        <f t="shared" si="29"/>
        <v>364647.6954126379</v>
      </c>
      <c r="O143" s="4">
        <f t="shared" si="30"/>
        <v>259991.04775125658</v>
      </c>
    </row>
    <row r="144" spans="6:15" x14ac:dyDescent="0.2">
      <c r="F144">
        <v>143</v>
      </c>
      <c r="G144" s="2">
        <f t="shared" si="22"/>
        <v>49734</v>
      </c>
      <c r="H144" s="4">
        <f t="shared" si="23"/>
        <v>364647.6954126379</v>
      </c>
      <c r="I144" s="4">
        <f t="shared" si="24"/>
        <v>2684.1081150606951</v>
      </c>
      <c r="J144" s="4">
        <f t="shared" si="25"/>
        <v>100</v>
      </c>
      <c r="K144" s="4">
        <f t="shared" si="27"/>
        <v>2784.1081150606951</v>
      </c>
      <c r="L144" s="4">
        <f t="shared" si="28"/>
        <v>1264.7427175080372</v>
      </c>
      <c r="M144" s="4">
        <f t="shared" si="26"/>
        <v>1519.3653975526579</v>
      </c>
      <c r="N144" s="4">
        <f t="shared" si="29"/>
        <v>363382.95269512985</v>
      </c>
      <c r="O144" s="4">
        <f t="shared" si="30"/>
        <v>261510.41314880925</v>
      </c>
    </row>
    <row r="145" spans="6:15" x14ac:dyDescent="0.2">
      <c r="F145">
        <v>144</v>
      </c>
      <c r="G145" s="2">
        <f t="shared" si="22"/>
        <v>49765</v>
      </c>
      <c r="H145" s="4">
        <f t="shared" si="23"/>
        <v>363382.95269512985</v>
      </c>
      <c r="I145" s="4">
        <f t="shared" si="24"/>
        <v>2684.1081150606951</v>
      </c>
      <c r="J145" s="4">
        <f t="shared" si="25"/>
        <v>100</v>
      </c>
      <c r="K145" s="4">
        <f t="shared" si="27"/>
        <v>2784.1081150606951</v>
      </c>
      <c r="L145" s="4">
        <f t="shared" si="28"/>
        <v>1270.0124788309874</v>
      </c>
      <c r="M145" s="4">
        <f t="shared" si="26"/>
        <v>1514.0956362297077</v>
      </c>
      <c r="N145" s="4">
        <f t="shared" si="29"/>
        <v>362112.94021629886</v>
      </c>
      <c r="O145" s="4">
        <f t="shared" si="30"/>
        <v>263024.50878503895</v>
      </c>
    </row>
    <row r="146" spans="6:15" x14ac:dyDescent="0.2">
      <c r="F146">
        <v>145</v>
      </c>
      <c r="G146" s="2">
        <f t="shared" si="22"/>
        <v>49795</v>
      </c>
      <c r="H146" s="4">
        <f t="shared" si="23"/>
        <v>362112.94021629886</v>
      </c>
      <c r="I146" s="4">
        <f t="shared" si="24"/>
        <v>2684.1081150606951</v>
      </c>
      <c r="J146" s="4">
        <f t="shared" si="25"/>
        <v>100</v>
      </c>
      <c r="K146" s="4">
        <f t="shared" si="27"/>
        <v>2784.1081150606951</v>
      </c>
      <c r="L146" s="4">
        <f t="shared" si="28"/>
        <v>1275.304197492783</v>
      </c>
      <c r="M146" s="4">
        <f t="shared" si="26"/>
        <v>1508.8039175679121</v>
      </c>
      <c r="N146" s="4">
        <f t="shared" si="29"/>
        <v>360837.63601880608</v>
      </c>
      <c r="O146" s="4">
        <f t="shared" si="30"/>
        <v>264533.31270260684</v>
      </c>
    </row>
    <row r="147" spans="6:15" x14ac:dyDescent="0.2">
      <c r="F147">
        <v>146</v>
      </c>
      <c r="G147" s="2">
        <f t="shared" si="22"/>
        <v>49826</v>
      </c>
      <c r="H147" s="4">
        <f t="shared" si="23"/>
        <v>360837.63601880608</v>
      </c>
      <c r="I147" s="4">
        <f t="shared" si="24"/>
        <v>2684.1081150606951</v>
      </c>
      <c r="J147" s="4">
        <f t="shared" si="25"/>
        <v>100</v>
      </c>
      <c r="K147" s="4">
        <f t="shared" si="27"/>
        <v>2784.1081150606951</v>
      </c>
      <c r="L147" s="4">
        <f t="shared" si="28"/>
        <v>1280.6179649823364</v>
      </c>
      <c r="M147" s="4">
        <f t="shared" si="26"/>
        <v>1503.4901500783587</v>
      </c>
      <c r="N147" s="4">
        <f t="shared" si="29"/>
        <v>359557.01805382373</v>
      </c>
      <c r="O147" s="4">
        <f t="shared" si="30"/>
        <v>266036.80285268521</v>
      </c>
    </row>
    <row r="148" spans="6:15" x14ac:dyDescent="0.2">
      <c r="F148">
        <v>147</v>
      </c>
      <c r="G148" s="2">
        <f t="shared" si="22"/>
        <v>49856</v>
      </c>
      <c r="H148" s="4">
        <f t="shared" si="23"/>
        <v>359557.01805382373</v>
      </c>
      <c r="I148" s="4">
        <f t="shared" si="24"/>
        <v>2684.1081150606951</v>
      </c>
      <c r="J148" s="4">
        <f t="shared" si="25"/>
        <v>100</v>
      </c>
      <c r="K148" s="4">
        <f t="shared" si="27"/>
        <v>2784.1081150606951</v>
      </c>
      <c r="L148" s="4">
        <f t="shared" si="28"/>
        <v>1285.9538731697628</v>
      </c>
      <c r="M148" s="4">
        <f t="shared" si="26"/>
        <v>1498.1542418909323</v>
      </c>
      <c r="N148" s="4">
        <f t="shared" si="29"/>
        <v>358271.06418065395</v>
      </c>
      <c r="O148" s="4">
        <f t="shared" si="30"/>
        <v>267534.95709457615</v>
      </c>
    </row>
    <row r="149" spans="6:15" x14ac:dyDescent="0.2">
      <c r="F149">
        <v>148</v>
      </c>
      <c r="G149" s="2">
        <f t="shared" si="22"/>
        <v>49887</v>
      </c>
      <c r="H149" s="4">
        <f t="shared" si="23"/>
        <v>358271.06418065395</v>
      </c>
      <c r="I149" s="4">
        <f t="shared" si="24"/>
        <v>2684.1081150606951</v>
      </c>
      <c r="J149" s="4">
        <f t="shared" si="25"/>
        <v>100</v>
      </c>
      <c r="K149" s="4">
        <f t="shared" si="27"/>
        <v>2784.1081150606951</v>
      </c>
      <c r="L149" s="4">
        <f t="shared" si="28"/>
        <v>1291.3120143079702</v>
      </c>
      <c r="M149" s="4">
        <f t="shared" si="26"/>
        <v>1492.7961007527249</v>
      </c>
      <c r="N149" s="4">
        <f t="shared" si="29"/>
        <v>356979.75216634601</v>
      </c>
      <c r="O149" s="4">
        <f t="shared" si="30"/>
        <v>269027.75319532887</v>
      </c>
    </row>
    <row r="150" spans="6:15" x14ac:dyDescent="0.2">
      <c r="F150">
        <v>149</v>
      </c>
      <c r="G150" s="2">
        <f t="shared" si="22"/>
        <v>49918</v>
      </c>
      <c r="H150" s="4">
        <f t="shared" si="23"/>
        <v>356979.75216634601</v>
      </c>
      <c r="I150" s="4">
        <f t="shared" si="24"/>
        <v>2684.1081150606951</v>
      </c>
      <c r="J150" s="4">
        <f t="shared" si="25"/>
        <v>100</v>
      </c>
      <c r="K150" s="4">
        <f t="shared" si="27"/>
        <v>2784.1081150606951</v>
      </c>
      <c r="L150" s="4">
        <f t="shared" si="28"/>
        <v>1296.6924810342534</v>
      </c>
      <c r="M150" s="4">
        <f t="shared" si="26"/>
        <v>1487.4156340264417</v>
      </c>
      <c r="N150" s="4">
        <f t="shared" si="29"/>
        <v>355683.05968531175</v>
      </c>
      <c r="O150" s="4">
        <f t="shared" si="30"/>
        <v>270515.16882935533</v>
      </c>
    </row>
    <row r="151" spans="6:15" x14ac:dyDescent="0.2">
      <c r="F151">
        <v>150</v>
      </c>
      <c r="G151" s="2">
        <f t="shared" si="22"/>
        <v>49948</v>
      </c>
      <c r="H151" s="4">
        <f t="shared" si="23"/>
        <v>355683.05968531175</v>
      </c>
      <c r="I151" s="4">
        <f t="shared" si="24"/>
        <v>2684.1081150606951</v>
      </c>
      <c r="J151" s="4">
        <f t="shared" si="25"/>
        <v>100</v>
      </c>
      <c r="K151" s="4">
        <f t="shared" si="27"/>
        <v>2784.1081150606951</v>
      </c>
      <c r="L151" s="4">
        <f t="shared" si="28"/>
        <v>1302.0953663718963</v>
      </c>
      <c r="M151" s="4">
        <f t="shared" si="26"/>
        <v>1482.0127486887989</v>
      </c>
      <c r="N151" s="4">
        <f t="shared" si="29"/>
        <v>354380.96431893983</v>
      </c>
      <c r="O151" s="4">
        <f t="shared" si="30"/>
        <v>271997.18157804414</v>
      </c>
    </row>
    <row r="152" spans="6:15" x14ac:dyDescent="0.2">
      <c r="F152">
        <v>151</v>
      </c>
      <c r="G152" s="2">
        <f t="shared" si="22"/>
        <v>49979</v>
      </c>
      <c r="H152" s="4">
        <f t="shared" si="23"/>
        <v>354380.96431893983</v>
      </c>
      <c r="I152" s="4">
        <f t="shared" si="24"/>
        <v>2684.1081150606951</v>
      </c>
      <c r="J152" s="4">
        <f t="shared" si="25"/>
        <v>100</v>
      </c>
      <c r="K152" s="4">
        <f t="shared" si="27"/>
        <v>2784.1081150606951</v>
      </c>
      <c r="L152" s="4">
        <f t="shared" si="28"/>
        <v>1307.520763731779</v>
      </c>
      <c r="M152" s="4">
        <f t="shared" si="26"/>
        <v>1476.5873513289162</v>
      </c>
      <c r="N152" s="4">
        <f t="shared" si="29"/>
        <v>353073.44355520804</v>
      </c>
      <c r="O152" s="4">
        <f t="shared" si="30"/>
        <v>273473.76892937307</v>
      </c>
    </row>
    <row r="153" spans="6:15" x14ac:dyDescent="0.2">
      <c r="F153">
        <v>152</v>
      </c>
      <c r="G153" s="2">
        <f t="shared" si="22"/>
        <v>50009</v>
      </c>
      <c r="H153" s="4">
        <f t="shared" si="23"/>
        <v>353073.44355520804</v>
      </c>
      <c r="I153" s="4">
        <f t="shared" si="24"/>
        <v>2684.1081150606951</v>
      </c>
      <c r="J153" s="4">
        <f t="shared" si="25"/>
        <v>100</v>
      </c>
      <c r="K153" s="4">
        <f t="shared" si="27"/>
        <v>2784.1081150606951</v>
      </c>
      <c r="L153" s="4">
        <f t="shared" si="28"/>
        <v>1312.9687669139948</v>
      </c>
      <c r="M153" s="4">
        <f t="shared" si="26"/>
        <v>1471.1393481467003</v>
      </c>
      <c r="N153" s="4">
        <f t="shared" si="29"/>
        <v>351760.47478829406</v>
      </c>
      <c r="O153" s="4">
        <f t="shared" si="30"/>
        <v>274944.90827751975</v>
      </c>
    </row>
    <row r="154" spans="6:15" x14ac:dyDescent="0.2">
      <c r="F154">
        <v>153</v>
      </c>
      <c r="G154" s="2">
        <f t="shared" si="22"/>
        <v>50040</v>
      </c>
      <c r="H154" s="4">
        <f t="shared" si="23"/>
        <v>351760.47478829406</v>
      </c>
      <c r="I154" s="4">
        <f t="shared" si="24"/>
        <v>2684.1081150606951</v>
      </c>
      <c r="J154" s="4">
        <f t="shared" si="25"/>
        <v>100</v>
      </c>
      <c r="K154" s="4">
        <f t="shared" si="27"/>
        <v>2784.1081150606951</v>
      </c>
      <c r="L154" s="4">
        <f t="shared" si="28"/>
        <v>1318.4394701094698</v>
      </c>
      <c r="M154" s="4">
        <f t="shared" si="26"/>
        <v>1465.6686449512254</v>
      </c>
      <c r="N154" s="4">
        <f t="shared" si="29"/>
        <v>350442.03531818459</v>
      </c>
      <c r="O154" s="4">
        <f t="shared" si="30"/>
        <v>276410.57692247099</v>
      </c>
    </row>
    <row r="155" spans="6:15" x14ac:dyDescent="0.2">
      <c r="F155">
        <v>154</v>
      </c>
      <c r="G155" s="2">
        <f t="shared" si="22"/>
        <v>50071</v>
      </c>
      <c r="H155" s="4">
        <f t="shared" si="23"/>
        <v>350442.03531818459</v>
      </c>
      <c r="I155" s="4">
        <f t="shared" si="24"/>
        <v>2684.1081150606951</v>
      </c>
      <c r="J155" s="4">
        <f t="shared" si="25"/>
        <v>100</v>
      </c>
      <c r="K155" s="4">
        <f t="shared" si="27"/>
        <v>2784.1081150606951</v>
      </c>
      <c r="L155" s="4">
        <f t="shared" si="28"/>
        <v>1323.9329679015927</v>
      </c>
      <c r="M155" s="4">
        <f t="shared" si="26"/>
        <v>1460.1751471591024</v>
      </c>
      <c r="N155" s="4">
        <f t="shared" si="29"/>
        <v>349118.10235028301</v>
      </c>
      <c r="O155" s="4">
        <f t="shared" si="30"/>
        <v>277870.75206963008</v>
      </c>
    </row>
    <row r="156" spans="6:15" x14ac:dyDescent="0.2">
      <c r="F156">
        <v>155</v>
      </c>
      <c r="G156" s="2">
        <f t="shared" si="22"/>
        <v>50099</v>
      </c>
      <c r="H156" s="4">
        <f t="shared" si="23"/>
        <v>349118.10235028301</v>
      </c>
      <c r="I156" s="4">
        <f t="shared" si="24"/>
        <v>2684.1081150606951</v>
      </c>
      <c r="J156" s="4">
        <f t="shared" si="25"/>
        <v>100</v>
      </c>
      <c r="K156" s="4">
        <f t="shared" si="27"/>
        <v>2784.1081150606951</v>
      </c>
      <c r="L156" s="4">
        <f t="shared" si="28"/>
        <v>1329.4493552678493</v>
      </c>
      <c r="M156" s="4">
        <f t="shared" si="26"/>
        <v>1454.6587597928458</v>
      </c>
      <c r="N156" s="4">
        <f t="shared" si="29"/>
        <v>347788.65299501515</v>
      </c>
      <c r="O156" s="4">
        <f t="shared" si="30"/>
        <v>279325.41082942294</v>
      </c>
    </row>
    <row r="157" spans="6:15" x14ac:dyDescent="0.2">
      <c r="F157">
        <v>156</v>
      </c>
      <c r="G157" s="2">
        <f t="shared" si="22"/>
        <v>50130</v>
      </c>
      <c r="H157" s="4">
        <f t="shared" si="23"/>
        <v>347788.65299501515</v>
      </c>
      <c r="I157" s="4">
        <f t="shared" si="24"/>
        <v>2684.1081150606951</v>
      </c>
      <c r="J157" s="4">
        <f t="shared" si="25"/>
        <v>100</v>
      </c>
      <c r="K157" s="4">
        <f t="shared" si="27"/>
        <v>2784.1081150606951</v>
      </c>
      <c r="L157" s="4">
        <f t="shared" si="28"/>
        <v>1334.9887275814654</v>
      </c>
      <c r="M157" s="4">
        <f t="shared" si="26"/>
        <v>1449.1193874792298</v>
      </c>
      <c r="N157" s="4">
        <f t="shared" si="29"/>
        <v>346453.66426743369</v>
      </c>
      <c r="O157" s="4">
        <f t="shared" si="30"/>
        <v>280774.53021690215</v>
      </c>
    </row>
    <row r="158" spans="6:15" x14ac:dyDescent="0.2">
      <c r="F158">
        <v>157</v>
      </c>
      <c r="G158" s="2">
        <f t="shared" si="22"/>
        <v>50160</v>
      </c>
      <c r="H158" s="4">
        <f t="shared" si="23"/>
        <v>346453.66426743369</v>
      </c>
      <c r="I158" s="4">
        <f t="shared" si="24"/>
        <v>2684.1081150606951</v>
      </c>
      <c r="J158" s="4">
        <f t="shared" si="25"/>
        <v>100</v>
      </c>
      <c r="K158" s="4">
        <f t="shared" si="27"/>
        <v>2784.1081150606951</v>
      </c>
      <c r="L158" s="4">
        <f t="shared" si="28"/>
        <v>1340.5511806130546</v>
      </c>
      <c r="M158" s="4">
        <f t="shared" si="26"/>
        <v>1443.5569344476405</v>
      </c>
      <c r="N158" s="4">
        <f t="shared" si="29"/>
        <v>345113.11308682064</v>
      </c>
      <c r="O158" s="4">
        <f t="shared" si="30"/>
        <v>282218.08715134981</v>
      </c>
    </row>
    <row r="159" spans="6:15" x14ac:dyDescent="0.2">
      <c r="F159">
        <v>158</v>
      </c>
      <c r="G159" s="2">
        <f t="shared" si="22"/>
        <v>50191</v>
      </c>
      <c r="H159" s="4">
        <f t="shared" si="23"/>
        <v>345113.11308682064</v>
      </c>
      <c r="I159" s="4">
        <f t="shared" si="24"/>
        <v>2684.1081150606951</v>
      </c>
      <c r="J159" s="4">
        <f t="shared" si="25"/>
        <v>100</v>
      </c>
      <c r="K159" s="4">
        <f t="shared" si="27"/>
        <v>2784.1081150606951</v>
      </c>
      <c r="L159" s="4">
        <f t="shared" si="28"/>
        <v>1346.1368105322756</v>
      </c>
      <c r="M159" s="4">
        <f t="shared" si="26"/>
        <v>1437.9713045284195</v>
      </c>
      <c r="N159" s="4">
        <f t="shared" si="29"/>
        <v>343766.97627628839</v>
      </c>
      <c r="O159" s="4">
        <f t="shared" si="30"/>
        <v>283656.05845587823</v>
      </c>
    </row>
    <row r="160" spans="6:15" x14ac:dyDescent="0.2">
      <c r="F160">
        <v>159</v>
      </c>
      <c r="G160" s="2">
        <f t="shared" si="22"/>
        <v>50221</v>
      </c>
      <c r="H160" s="4">
        <f t="shared" si="23"/>
        <v>343766.97627628839</v>
      </c>
      <c r="I160" s="4">
        <f t="shared" si="24"/>
        <v>2684.1081150606951</v>
      </c>
      <c r="J160" s="4">
        <f t="shared" si="25"/>
        <v>100</v>
      </c>
      <c r="K160" s="4">
        <f t="shared" si="27"/>
        <v>2784.1081150606951</v>
      </c>
      <c r="L160" s="4">
        <f t="shared" si="28"/>
        <v>1351.7457139094934</v>
      </c>
      <c r="M160" s="4">
        <f t="shared" si="26"/>
        <v>1432.3624011512018</v>
      </c>
      <c r="N160" s="4">
        <f t="shared" si="29"/>
        <v>342415.23056237889</v>
      </c>
      <c r="O160" s="4">
        <f t="shared" si="30"/>
        <v>285088.42085702944</v>
      </c>
    </row>
    <row r="161" spans="6:15" x14ac:dyDescent="0.2">
      <c r="F161">
        <v>160</v>
      </c>
      <c r="G161" s="2">
        <f t="shared" si="22"/>
        <v>50252</v>
      </c>
      <c r="H161" s="4">
        <f t="shared" si="23"/>
        <v>342415.23056237889</v>
      </c>
      <c r="I161" s="4">
        <f t="shared" si="24"/>
        <v>2684.1081150606951</v>
      </c>
      <c r="J161" s="4">
        <f t="shared" si="25"/>
        <v>100</v>
      </c>
      <c r="K161" s="4">
        <f t="shared" si="27"/>
        <v>2784.1081150606951</v>
      </c>
      <c r="L161" s="4">
        <f t="shared" si="28"/>
        <v>1357.3779877174495</v>
      </c>
      <c r="M161" s="4">
        <f t="shared" si="26"/>
        <v>1426.7301273432456</v>
      </c>
      <c r="N161" s="4">
        <f t="shared" si="29"/>
        <v>341057.85257466143</v>
      </c>
      <c r="O161" s="4">
        <f t="shared" si="30"/>
        <v>286515.15098437271</v>
      </c>
    </row>
    <row r="162" spans="6:15" x14ac:dyDescent="0.2">
      <c r="F162">
        <v>161</v>
      </c>
      <c r="G162" s="2">
        <f t="shared" si="22"/>
        <v>50283</v>
      </c>
      <c r="H162" s="4">
        <f t="shared" si="23"/>
        <v>341057.85257466143</v>
      </c>
      <c r="I162" s="4">
        <f t="shared" si="24"/>
        <v>2684.1081150606951</v>
      </c>
      <c r="J162" s="4">
        <f t="shared" si="25"/>
        <v>100</v>
      </c>
      <c r="K162" s="4">
        <f t="shared" si="27"/>
        <v>2784.1081150606951</v>
      </c>
      <c r="L162" s="4">
        <f t="shared" si="28"/>
        <v>1363.0337293329392</v>
      </c>
      <c r="M162" s="4">
        <f t="shared" si="26"/>
        <v>1421.074385727756</v>
      </c>
      <c r="N162" s="4">
        <f t="shared" si="29"/>
        <v>339694.81884532847</v>
      </c>
      <c r="O162" s="4">
        <f t="shared" si="30"/>
        <v>287936.22537010047</v>
      </c>
    </row>
    <row r="163" spans="6:15" x14ac:dyDescent="0.2">
      <c r="F163">
        <v>162</v>
      </c>
      <c r="G163" s="2">
        <f t="shared" si="22"/>
        <v>50313</v>
      </c>
      <c r="H163" s="4">
        <f t="shared" si="23"/>
        <v>339694.81884532847</v>
      </c>
      <c r="I163" s="4">
        <f t="shared" si="24"/>
        <v>2684.1081150606951</v>
      </c>
      <c r="J163" s="4">
        <f t="shared" si="25"/>
        <v>100</v>
      </c>
      <c r="K163" s="4">
        <f t="shared" si="27"/>
        <v>2784.1081150606951</v>
      </c>
      <c r="L163" s="4">
        <f t="shared" si="28"/>
        <v>1368.713036538493</v>
      </c>
      <c r="M163" s="4">
        <f t="shared" si="26"/>
        <v>1415.3950785222021</v>
      </c>
      <c r="N163" s="4">
        <f t="shared" si="29"/>
        <v>338326.10580878996</v>
      </c>
      <c r="O163" s="4">
        <f t="shared" si="30"/>
        <v>289351.62044862268</v>
      </c>
    </row>
    <row r="164" spans="6:15" x14ac:dyDescent="0.2">
      <c r="F164">
        <v>163</v>
      </c>
      <c r="G164" s="2">
        <f t="shared" si="22"/>
        <v>50344</v>
      </c>
      <c r="H164" s="4">
        <f t="shared" si="23"/>
        <v>338326.10580878996</v>
      </c>
      <c r="I164" s="4">
        <f t="shared" si="24"/>
        <v>2684.1081150606951</v>
      </c>
      <c r="J164" s="4">
        <f t="shared" si="25"/>
        <v>100</v>
      </c>
      <c r="K164" s="4">
        <f t="shared" si="27"/>
        <v>2784.1081150606951</v>
      </c>
      <c r="L164" s="4">
        <f t="shared" si="28"/>
        <v>1374.4160075240704</v>
      </c>
      <c r="M164" s="4">
        <f t="shared" si="26"/>
        <v>1409.6921075366247</v>
      </c>
      <c r="N164" s="4">
        <f t="shared" si="29"/>
        <v>336951.68980126589</v>
      </c>
      <c r="O164" s="4">
        <f t="shared" si="30"/>
        <v>290761.31255615928</v>
      </c>
    </row>
    <row r="165" spans="6:15" x14ac:dyDescent="0.2">
      <c r="F165">
        <v>164</v>
      </c>
      <c r="G165" s="2">
        <f t="shared" si="22"/>
        <v>50374</v>
      </c>
      <c r="H165" s="4">
        <f t="shared" si="23"/>
        <v>336951.68980126589</v>
      </c>
      <c r="I165" s="4">
        <f t="shared" si="24"/>
        <v>2684.1081150606951</v>
      </c>
      <c r="J165" s="4">
        <f t="shared" si="25"/>
        <v>100</v>
      </c>
      <c r="K165" s="4">
        <f t="shared" si="27"/>
        <v>2784.1081150606951</v>
      </c>
      <c r="L165" s="4">
        <f t="shared" si="28"/>
        <v>1380.1427408887539</v>
      </c>
      <c r="M165" s="4">
        <f t="shared" si="26"/>
        <v>1403.9653741719412</v>
      </c>
      <c r="N165" s="4">
        <f t="shared" si="29"/>
        <v>335571.54706037714</v>
      </c>
      <c r="O165" s="4">
        <f t="shared" si="30"/>
        <v>292165.27793033124</v>
      </c>
    </row>
    <row r="166" spans="6:15" x14ac:dyDescent="0.2">
      <c r="F166">
        <v>165</v>
      </c>
      <c r="G166" s="2">
        <f t="shared" si="22"/>
        <v>50405</v>
      </c>
      <c r="H166" s="4">
        <f t="shared" si="23"/>
        <v>335571.54706037714</v>
      </c>
      <c r="I166" s="4">
        <f t="shared" si="24"/>
        <v>2684.1081150606951</v>
      </c>
      <c r="J166" s="4">
        <f t="shared" si="25"/>
        <v>100</v>
      </c>
      <c r="K166" s="4">
        <f t="shared" si="27"/>
        <v>2784.1081150606951</v>
      </c>
      <c r="L166" s="4">
        <f t="shared" si="28"/>
        <v>1385.893335642457</v>
      </c>
      <c r="M166" s="4">
        <f t="shared" si="26"/>
        <v>1398.2147794182381</v>
      </c>
      <c r="N166" s="4">
        <f t="shared" si="29"/>
        <v>334185.65372473467</v>
      </c>
      <c r="O166" s="4">
        <f t="shared" si="30"/>
        <v>293563.49270974949</v>
      </c>
    </row>
    <row r="167" spans="6:15" x14ac:dyDescent="0.2">
      <c r="F167">
        <v>166</v>
      </c>
      <c r="G167" s="2">
        <f t="shared" si="22"/>
        <v>50436</v>
      </c>
      <c r="H167" s="4">
        <f t="shared" si="23"/>
        <v>334185.65372473467</v>
      </c>
      <c r="I167" s="4">
        <f t="shared" si="24"/>
        <v>2684.1081150606951</v>
      </c>
      <c r="J167" s="4">
        <f t="shared" si="25"/>
        <v>100</v>
      </c>
      <c r="K167" s="4">
        <f t="shared" si="27"/>
        <v>2784.1081150606951</v>
      </c>
      <c r="L167" s="4">
        <f t="shared" si="28"/>
        <v>1391.6678912076341</v>
      </c>
      <c r="M167" s="4">
        <f t="shared" si="26"/>
        <v>1392.4402238530611</v>
      </c>
      <c r="N167" s="4">
        <f t="shared" si="29"/>
        <v>332793.98583352705</v>
      </c>
      <c r="O167" s="4">
        <f t="shared" si="30"/>
        <v>294955.93293360254</v>
      </c>
    </row>
    <row r="168" spans="6:15" x14ac:dyDescent="0.2">
      <c r="F168">
        <v>167</v>
      </c>
      <c r="G168" s="2">
        <f t="shared" si="22"/>
        <v>50464</v>
      </c>
      <c r="H168" s="4">
        <f t="shared" si="23"/>
        <v>332793.98583352705</v>
      </c>
      <c r="I168" s="4">
        <f t="shared" si="24"/>
        <v>2684.1081150606951</v>
      </c>
      <c r="J168" s="4">
        <f t="shared" si="25"/>
        <v>100</v>
      </c>
      <c r="K168" s="4">
        <f t="shared" si="27"/>
        <v>2784.1081150606951</v>
      </c>
      <c r="L168" s="4">
        <f t="shared" si="28"/>
        <v>1397.4665074209991</v>
      </c>
      <c r="M168" s="4">
        <f t="shared" si="26"/>
        <v>1386.6416076396961</v>
      </c>
      <c r="N168" s="4">
        <f t="shared" si="29"/>
        <v>331396.51932610606</v>
      </c>
      <c r="O168" s="4">
        <f t="shared" si="30"/>
        <v>296342.57454124221</v>
      </c>
    </row>
    <row r="169" spans="6:15" x14ac:dyDescent="0.2">
      <c r="F169">
        <v>168</v>
      </c>
      <c r="G169" s="2">
        <f t="shared" si="22"/>
        <v>50495</v>
      </c>
      <c r="H169" s="4">
        <f t="shared" si="23"/>
        <v>331396.51932610606</v>
      </c>
      <c r="I169" s="4">
        <f t="shared" si="24"/>
        <v>2684.1081150606951</v>
      </c>
      <c r="J169" s="4">
        <f t="shared" si="25"/>
        <v>100</v>
      </c>
      <c r="K169" s="4">
        <f t="shared" si="27"/>
        <v>2784.1081150606951</v>
      </c>
      <c r="L169" s="4">
        <f t="shared" si="28"/>
        <v>1403.2892845352533</v>
      </c>
      <c r="M169" s="4">
        <f t="shared" si="26"/>
        <v>1380.8188305254419</v>
      </c>
      <c r="N169" s="4">
        <f t="shared" si="29"/>
        <v>329993.23004157079</v>
      </c>
      <c r="O169" s="4">
        <f t="shared" si="30"/>
        <v>297723.39337176766</v>
      </c>
    </row>
    <row r="170" spans="6:15" x14ac:dyDescent="0.2">
      <c r="F170">
        <v>169</v>
      </c>
      <c r="G170" s="2">
        <f t="shared" si="22"/>
        <v>50525</v>
      </c>
      <c r="H170" s="4">
        <f t="shared" si="23"/>
        <v>329993.23004157079</v>
      </c>
      <c r="I170" s="4">
        <f t="shared" si="24"/>
        <v>2684.1081150606951</v>
      </c>
      <c r="J170" s="4">
        <f t="shared" si="25"/>
        <v>100</v>
      </c>
      <c r="K170" s="4">
        <f t="shared" si="27"/>
        <v>2784.1081150606951</v>
      </c>
      <c r="L170" s="4">
        <f t="shared" si="28"/>
        <v>1409.1363232208168</v>
      </c>
      <c r="M170" s="4">
        <f t="shared" si="26"/>
        <v>1374.9717918398783</v>
      </c>
      <c r="N170" s="4">
        <f t="shared" si="29"/>
        <v>328584.09371834999</v>
      </c>
      <c r="O170" s="4">
        <f t="shared" si="30"/>
        <v>299098.36516360752</v>
      </c>
    </row>
    <row r="171" spans="6:15" x14ac:dyDescent="0.2">
      <c r="F171">
        <v>170</v>
      </c>
      <c r="G171" s="2">
        <f t="shared" si="22"/>
        <v>50556</v>
      </c>
      <c r="H171" s="4">
        <f t="shared" si="23"/>
        <v>328584.09371834999</v>
      </c>
      <c r="I171" s="4">
        <f t="shared" si="24"/>
        <v>2684.1081150606951</v>
      </c>
      <c r="J171" s="4">
        <f t="shared" si="25"/>
        <v>100</v>
      </c>
      <c r="K171" s="4">
        <f t="shared" si="27"/>
        <v>2784.1081150606951</v>
      </c>
      <c r="L171" s="4">
        <f t="shared" si="28"/>
        <v>1415.0077245675702</v>
      </c>
      <c r="M171" s="4">
        <f t="shared" si="26"/>
        <v>1369.1003904931249</v>
      </c>
      <c r="N171" s="4">
        <f t="shared" si="29"/>
        <v>327169.08599378244</v>
      </c>
      <c r="O171" s="4">
        <f t="shared" si="30"/>
        <v>300467.46555410064</v>
      </c>
    </row>
    <row r="172" spans="6:15" x14ac:dyDescent="0.2">
      <c r="F172">
        <v>171</v>
      </c>
      <c r="G172" s="2">
        <f t="shared" si="22"/>
        <v>50586</v>
      </c>
      <c r="H172" s="4">
        <f t="shared" si="23"/>
        <v>327169.08599378244</v>
      </c>
      <c r="I172" s="4">
        <f t="shared" si="24"/>
        <v>2684.1081150606951</v>
      </c>
      <c r="J172" s="4">
        <f t="shared" si="25"/>
        <v>100</v>
      </c>
      <c r="K172" s="4">
        <f t="shared" si="27"/>
        <v>2784.1081150606951</v>
      </c>
      <c r="L172" s="4">
        <f t="shared" si="28"/>
        <v>1420.9035900866015</v>
      </c>
      <c r="M172" s="4">
        <f t="shared" si="26"/>
        <v>1363.2045249740936</v>
      </c>
      <c r="N172" s="4">
        <f t="shared" si="29"/>
        <v>325748.18240369583</v>
      </c>
      <c r="O172" s="4">
        <f t="shared" si="30"/>
        <v>301830.67007907474</v>
      </c>
    </row>
    <row r="173" spans="6:15" x14ac:dyDescent="0.2">
      <c r="F173">
        <v>172</v>
      </c>
      <c r="G173" s="2">
        <f t="shared" si="22"/>
        <v>50617</v>
      </c>
      <c r="H173" s="4">
        <f t="shared" si="23"/>
        <v>325748.18240369583</v>
      </c>
      <c r="I173" s="4">
        <f t="shared" si="24"/>
        <v>2684.1081150606951</v>
      </c>
      <c r="J173" s="4">
        <f t="shared" si="25"/>
        <v>100</v>
      </c>
      <c r="K173" s="4">
        <f t="shared" si="27"/>
        <v>2784.1081150606951</v>
      </c>
      <c r="L173" s="4">
        <f t="shared" si="28"/>
        <v>1426.8240217119626</v>
      </c>
      <c r="M173" s="4">
        <f t="shared" si="26"/>
        <v>1357.2840933487325</v>
      </c>
      <c r="N173" s="4">
        <f t="shared" si="29"/>
        <v>324321.35838198388</v>
      </c>
      <c r="O173" s="4">
        <f t="shared" si="30"/>
        <v>303187.95417242346</v>
      </c>
    </row>
    <row r="174" spans="6:15" x14ac:dyDescent="0.2">
      <c r="F174">
        <v>173</v>
      </c>
      <c r="G174" s="2">
        <f t="shared" si="22"/>
        <v>50648</v>
      </c>
      <c r="H174" s="4">
        <f t="shared" si="23"/>
        <v>324321.35838198388</v>
      </c>
      <c r="I174" s="4">
        <f t="shared" si="24"/>
        <v>2684.1081150606951</v>
      </c>
      <c r="J174" s="4">
        <f t="shared" si="25"/>
        <v>100</v>
      </c>
      <c r="K174" s="4">
        <f t="shared" si="27"/>
        <v>2784.1081150606951</v>
      </c>
      <c r="L174" s="4">
        <f t="shared" si="28"/>
        <v>1432.769121802429</v>
      </c>
      <c r="M174" s="4">
        <f t="shared" si="26"/>
        <v>1351.3389932582661</v>
      </c>
      <c r="N174" s="4">
        <f t="shared" si="29"/>
        <v>322888.58926018147</v>
      </c>
      <c r="O174" s="4">
        <f t="shared" si="30"/>
        <v>304539.29316568171</v>
      </c>
    </row>
    <row r="175" spans="6:15" x14ac:dyDescent="0.2">
      <c r="F175">
        <v>174</v>
      </c>
      <c r="G175" s="2">
        <f t="shared" si="22"/>
        <v>50678</v>
      </c>
      <c r="H175" s="4">
        <f t="shared" si="23"/>
        <v>322888.58926018147</v>
      </c>
      <c r="I175" s="4">
        <f t="shared" si="24"/>
        <v>2684.1081150606951</v>
      </c>
      <c r="J175" s="4">
        <f t="shared" si="25"/>
        <v>100</v>
      </c>
      <c r="K175" s="4">
        <f t="shared" si="27"/>
        <v>2784.1081150606951</v>
      </c>
      <c r="L175" s="4">
        <f t="shared" si="28"/>
        <v>1438.7389931432724</v>
      </c>
      <c r="M175" s="4">
        <f t="shared" si="26"/>
        <v>1345.3691219174227</v>
      </c>
      <c r="N175" s="4">
        <f t="shared" si="29"/>
        <v>321449.85026703821</v>
      </c>
      <c r="O175" s="4">
        <f t="shared" si="30"/>
        <v>305884.66228759912</v>
      </c>
    </row>
    <row r="176" spans="6:15" x14ac:dyDescent="0.2">
      <c r="F176">
        <v>175</v>
      </c>
      <c r="G176" s="2">
        <f t="shared" si="22"/>
        <v>50709</v>
      </c>
      <c r="H176" s="4">
        <f t="shared" si="23"/>
        <v>321449.85026703821</v>
      </c>
      <c r="I176" s="4">
        <f t="shared" si="24"/>
        <v>2684.1081150606951</v>
      </c>
      <c r="J176" s="4">
        <f t="shared" si="25"/>
        <v>100</v>
      </c>
      <c r="K176" s="4">
        <f t="shared" si="27"/>
        <v>2784.1081150606951</v>
      </c>
      <c r="L176" s="4">
        <f t="shared" si="28"/>
        <v>1444.7337389480358</v>
      </c>
      <c r="M176" s="4">
        <f t="shared" si="26"/>
        <v>1339.3743761126593</v>
      </c>
      <c r="N176" s="4">
        <f t="shared" si="29"/>
        <v>320005.11652809021</v>
      </c>
      <c r="O176" s="4">
        <f t="shared" si="30"/>
        <v>307224.03666371177</v>
      </c>
    </row>
    <row r="177" spans="6:15" x14ac:dyDescent="0.2">
      <c r="F177">
        <v>176</v>
      </c>
      <c r="G177" s="2">
        <f t="shared" si="22"/>
        <v>50739</v>
      </c>
      <c r="H177" s="4">
        <f t="shared" si="23"/>
        <v>320005.11652809021</v>
      </c>
      <c r="I177" s="4">
        <f t="shared" si="24"/>
        <v>2684.1081150606951</v>
      </c>
      <c r="J177" s="4">
        <f t="shared" si="25"/>
        <v>100</v>
      </c>
      <c r="K177" s="4">
        <f t="shared" si="27"/>
        <v>2784.1081150606951</v>
      </c>
      <c r="L177" s="4">
        <f t="shared" si="28"/>
        <v>1450.7534628603191</v>
      </c>
      <c r="M177" s="4">
        <f t="shared" si="26"/>
        <v>1333.354652200376</v>
      </c>
      <c r="N177" s="4">
        <f t="shared" si="29"/>
        <v>318554.3630652299</v>
      </c>
      <c r="O177" s="4">
        <f t="shared" si="30"/>
        <v>308557.39131591213</v>
      </c>
    </row>
    <row r="178" spans="6:15" x14ac:dyDescent="0.2">
      <c r="F178">
        <v>177</v>
      </c>
      <c r="G178" s="2">
        <f t="shared" si="22"/>
        <v>50770</v>
      </c>
      <c r="H178" s="4">
        <f t="shared" si="23"/>
        <v>318554.3630652299</v>
      </c>
      <c r="I178" s="4">
        <f t="shared" si="24"/>
        <v>2684.1081150606951</v>
      </c>
      <c r="J178" s="4">
        <f t="shared" si="25"/>
        <v>100</v>
      </c>
      <c r="K178" s="4">
        <f t="shared" si="27"/>
        <v>2784.1081150606951</v>
      </c>
      <c r="L178" s="4">
        <f t="shared" si="28"/>
        <v>1456.7982689555704</v>
      </c>
      <c r="M178" s="4">
        <f t="shared" si="26"/>
        <v>1327.3098461051247</v>
      </c>
      <c r="N178" s="4">
        <f t="shared" si="29"/>
        <v>317097.56479627435</v>
      </c>
      <c r="O178" s="4">
        <f t="shared" si="30"/>
        <v>309884.70116201724</v>
      </c>
    </row>
    <row r="179" spans="6:15" x14ac:dyDescent="0.2">
      <c r="F179">
        <v>178</v>
      </c>
      <c r="G179" s="2">
        <f t="shared" si="22"/>
        <v>50801</v>
      </c>
      <c r="H179" s="4">
        <f t="shared" si="23"/>
        <v>317097.56479627435</v>
      </c>
      <c r="I179" s="4">
        <f t="shared" si="24"/>
        <v>2684.1081150606951</v>
      </c>
      <c r="J179" s="4">
        <f t="shared" si="25"/>
        <v>100</v>
      </c>
      <c r="K179" s="4">
        <f t="shared" si="27"/>
        <v>2784.1081150606951</v>
      </c>
      <c r="L179" s="4">
        <f t="shared" si="28"/>
        <v>1462.8682617428851</v>
      </c>
      <c r="M179" s="4">
        <f t="shared" si="26"/>
        <v>1321.23985331781</v>
      </c>
      <c r="N179" s="4">
        <f t="shared" si="29"/>
        <v>315634.69653453148</v>
      </c>
      <c r="O179" s="4">
        <f t="shared" si="30"/>
        <v>311205.94101533503</v>
      </c>
    </row>
    <row r="180" spans="6:15" x14ac:dyDescent="0.2">
      <c r="F180">
        <v>179</v>
      </c>
      <c r="G180" s="2">
        <f t="shared" si="22"/>
        <v>50829</v>
      </c>
      <c r="H180" s="4">
        <f t="shared" si="23"/>
        <v>315634.69653453148</v>
      </c>
      <c r="I180" s="4">
        <f t="shared" si="24"/>
        <v>2684.1081150606951</v>
      </c>
      <c r="J180" s="4">
        <f t="shared" si="25"/>
        <v>100</v>
      </c>
      <c r="K180" s="4">
        <f t="shared" si="27"/>
        <v>2784.1081150606951</v>
      </c>
      <c r="L180" s="4">
        <f t="shared" si="28"/>
        <v>1468.9635461668138</v>
      </c>
      <c r="M180" s="4">
        <f t="shared" si="26"/>
        <v>1315.1445688938813</v>
      </c>
      <c r="N180" s="4">
        <f t="shared" si="29"/>
        <v>314165.73298836465</v>
      </c>
      <c r="O180" s="4">
        <f t="shared" si="30"/>
        <v>312521.08558422892</v>
      </c>
    </row>
    <row r="181" spans="6:15" x14ac:dyDescent="0.2">
      <c r="F181">
        <v>180</v>
      </c>
      <c r="G181" s="2">
        <f t="shared" si="22"/>
        <v>50860</v>
      </c>
      <c r="H181" s="4">
        <f t="shared" si="23"/>
        <v>314165.73298836465</v>
      </c>
      <c r="I181" s="4">
        <f t="shared" si="24"/>
        <v>2684.1081150606951</v>
      </c>
      <c r="J181" s="4">
        <f t="shared" si="25"/>
        <v>100</v>
      </c>
      <c r="K181" s="4">
        <f t="shared" si="27"/>
        <v>2784.1081150606951</v>
      </c>
      <c r="L181" s="4">
        <f t="shared" si="28"/>
        <v>1475.0842276091757</v>
      </c>
      <c r="M181" s="4">
        <f t="shared" si="26"/>
        <v>1309.0238874515194</v>
      </c>
      <c r="N181" s="4">
        <f t="shared" si="29"/>
        <v>312690.64876075549</v>
      </c>
      <c r="O181" s="4">
        <f t="shared" si="30"/>
        <v>313830.10947168042</v>
      </c>
    </row>
    <row r="182" spans="6:15" x14ac:dyDescent="0.2">
      <c r="F182">
        <v>181</v>
      </c>
      <c r="G182" s="2">
        <f t="shared" si="22"/>
        <v>50890</v>
      </c>
      <c r="H182" s="4">
        <f t="shared" si="23"/>
        <v>312690.64876075549</v>
      </c>
      <c r="I182" s="4">
        <f t="shared" si="24"/>
        <v>2684.1081150606951</v>
      </c>
      <c r="J182" s="4">
        <f t="shared" si="25"/>
        <v>100</v>
      </c>
      <c r="K182" s="4">
        <f t="shared" si="27"/>
        <v>2784.1081150606951</v>
      </c>
      <c r="L182" s="4">
        <f t="shared" si="28"/>
        <v>1481.2304118908805</v>
      </c>
      <c r="M182" s="4">
        <f t="shared" si="26"/>
        <v>1302.8777031698146</v>
      </c>
      <c r="N182" s="4">
        <f t="shared" si="29"/>
        <v>311209.41834886459</v>
      </c>
      <c r="O182" s="4">
        <f t="shared" si="30"/>
        <v>315132.98717485025</v>
      </c>
    </row>
    <row r="183" spans="6:15" x14ac:dyDescent="0.2">
      <c r="F183">
        <v>182</v>
      </c>
      <c r="G183" s="2">
        <f t="shared" si="22"/>
        <v>50921</v>
      </c>
      <c r="H183" s="4">
        <f t="shared" si="23"/>
        <v>311209.41834886459</v>
      </c>
      <c r="I183" s="4">
        <f t="shared" si="24"/>
        <v>2684.1081150606951</v>
      </c>
      <c r="J183" s="4">
        <f t="shared" si="25"/>
        <v>100</v>
      </c>
      <c r="K183" s="4">
        <f t="shared" si="27"/>
        <v>2784.1081150606951</v>
      </c>
      <c r="L183" s="4">
        <f t="shared" si="28"/>
        <v>1487.4022052737594</v>
      </c>
      <c r="M183" s="4">
        <f t="shared" si="26"/>
        <v>1296.7059097869358</v>
      </c>
      <c r="N183" s="4">
        <f t="shared" si="29"/>
        <v>309722.01614359085</v>
      </c>
      <c r="O183" s="4">
        <f t="shared" si="30"/>
        <v>316429.69308463717</v>
      </c>
    </row>
    <row r="184" spans="6:15" x14ac:dyDescent="0.2">
      <c r="F184">
        <v>183</v>
      </c>
      <c r="G184" s="2">
        <f t="shared" si="22"/>
        <v>50951</v>
      </c>
      <c r="H184" s="4">
        <f t="shared" si="23"/>
        <v>309722.01614359085</v>
      </c>
      <c r="I184" s="4">
        <f t="shared" si="24"/>
        <v>2684.1081150606951</v>
      </c>
      <c r="J184" s="4">
        <f t="shared" si="25"/>
        <v>100</v>
      </c>
      <c r="K184" s="4">
        <f t="shared" si="27"/>
        <v>2784.1081150606951</v>
      </c>
      <c r="L184" s="4">
        <f t="shared" si="28"/>
        <v>1493.5997144623998</v>
      </c>
      <c r="M184" s="4">
        <f t="shared" si="26"/>
        <v>1290.5084005982953</v>
      </c>
      <c r="N184" s="4">
        <f t="shared" si="29"/>
        <v>308228.41642912844</v>
      </c>
      <c r="O184" s="4">
        <f t="shared" si="30"/>
        <v>317720.20148523548</v>
      </c>
    </row>
    <row r="185" spans="6:15" x14ac:dyDescent="0.2">
      <c r="F185">
        <v>184</v>
      </c>
      <c r="G185" s="2">
        <f t="shared" si="22"/>
        <v>50982</v>
      </c>
      <c r="H185" s="4">
        <f t="shared" si="23"/>
        <v>308228.41642912844</v>
      </c>
      <c r="I185" s="4">
        <f t="shared" si="24"/>
        <v>2684.1081150606951</v>
      </c>
      <c r="J185" s="4">
        <f t="shared" si="25"/>
        <v>100</v>
      </c>
      <c r="K185" s="4">
        <f t="shared" si="27"/>
        <v>2784.1081150606951</v>
      </c>
      <c r="L185" s="4">
        <f t="shared" si="28"/>
        <v>1499.8230466059933</v>
      </c>
      <c r="M185" s="4">
        <f t="shared" si="26"/>
        <v>1284.2850684547018</v>
      </c>
      <c r="N185" s="4">
        <f t="shared" si="29"/>
        <v>306728.59338252246</v>
      </c>
      <c r="O185" s="4">
        <f t="shared" si="30"/>
        <v>319004.48655369016</v>
      </c>
    </row>
    <row r="186" spans="6:15" x14ac:dyDescent="0.2">
      <c r="F186">
        <v>185</v>
      </c>
      <c r="G186" s="2">
        <f t="shared" si="22"/>
        <v>51013</v>
      </c>
      <c r="H186" s="4">
        <f t="shared" si="23"/>
        <v>306728.59338252246</v>
      </c>
      <c r="I186" s="4">
        <f t="shared" si="24"/>
        <v>2684.1081150606951</v>
      </c>
      <c r="J186" s="4">
        <f t="shared" si="25"/>
        <v>100</v>
      </c>
      <c r="K186" s="4">
        <f t="shared" si="27"/>
        <v>2784.1081150606951</v>
      </c>
      <c r="L186" s="4">
        <f t="shared" si="28"/>
        <v>1506.0723093001848</v>
      </c>
      <c r="M186" s="4">
        <f t="shared" si="26"/>
        <v>1278.0358057605104</v>
      </c>
      <c r="N186" s="4">
        <f t="shared" si="29"/>
        <v>305222.52107322228</v>
      </c>
      <c r="O186" s="4">
        <f t="shared" si="30"/>
        <v>320282.5223594507</v>
      </c>
    </row>
    <row r="187" spans="6:15" x14ac:dyDescent="0.2">
      <c r="F187">
        <v>186</v>
      </c>
      <c r="G187" s="2">
        <f t="shared" si="22"/>
        <v>51043</v>
      </c>
      <c r="H187" s="4">
        <f t="shared" si="23"/>
        <v>305222.52107322228</v>
      </c>
      <c r="I187" s="4">
        <f t="shared" si="24"/>
        <v>2684.1081150606951</v>
      </c>
      <c r="J187" s="4">
        <f t="shared" si="25"/>
        <v>100</v>
      </c>
      <c r="K187" s="4">
        <f t="shared" si="27"/>
        <v>2784.1081150606951</v>
      </c>
      <c r="L187" s="4">
        <f t="shared" si="28"/>
        <v>1512.3476105889356</v>
      </c>
      <c r="M187" s="4">
        <f t="shared" si="26"/>
        <v>1271.7605044717595</v>
      </c>
      <c r="N187" s="4">
        <f t="shared" si="29"/>
        <v>303710.17346263333</v>
      </c>
      <c r="O187" s="4">
        <f t="shared" si="30"/>
        <v>321554.28286392248</v>
      </c>
    </row>
    <row r="188" spans="6:15" x14ac:dyDescent="0.2">
      <c r="F188">
        <v>187</v>
      </c>
      <c r="G188" s="2">
        <f t="shared" si="22"/>
        <v>51074</v>
      </c>
      <c r="H188" s="4">
        <f t="shared" si="23"/>
        <v>303710.17346263333</v>
      </c>
      <c r="I188" s="4">
        <f t="shared" si="24"/>
        <v>2684.1081150606951</v>
      </c>
      <c r="J188" s="4">
        <f t="shared" si="25"/>
        <v>100</v>
      </c>
      <c r="K188" s="4">
        <f t="shared" si="27"/>
        <v>2784.1081150606951</v>
      </c>
      <c r="L188" s="4">
        <f t="shared" si="28"/>
        <v>1518.6490589663895</v>
      </c>
      <c r="M188" s="4">
        <f t="shared" si="26"/>
        <v>1265.4590560943057</v>
      </c>
      <c r="N188" s="4">
        <f t="shared" si="29"/>
        <v>302191.52440366696</v>
      </c>
      <c r="O188" s="4">
        <f t="shared" si="30"/>
        <v>322819.74192001676</v>
      </c>
    </row>
    <row r="189" spans="6:15" x14ac:dyDescent="0.2">
      <c r="F189">
        <v>188</v>
      </c>
      <c r="G189" s="2">
        <f t="shared" si="22"/>
        <v>51104</v>
      </c>
      <c r="H189" s="4">
        <f t="shared" si="23"/>
        <v>302191.52440366696</v>
      </c>
      <c r="I189" s="4">
        <f t="shared" si="24"/>
        <v>2684.1081150606951</v>
      </c>
      <c r="J189" s="4">
        <f t="shared" si="25"/>
        <v>100</v>
      </c>
      <c r="K189" s="4">
        <f t="shared" si="27"/>
        <v>2784.1081150606951</v>
      </c>
      <c r="L189" s="4">
        <f t="shared" si="28"/>
        <v>1524.9767633787494</v>
      </c>
      <c r="M189" s="4">
        <f t="shared" si="26"/>
        <v>1259.1313516819457</v>
      </c>
      <c r="N189" s="4">
        <f t="shared" si="29"/>
        <v>300666.54764028819</v>
      </c>
      <c r="O189" s="4">
        <f t="shared" si="30"/>
        <v>324078.87327169871</v>
      </c>
    </row>
    <row r="190" spans="6:15" x14ac:dyDescent="0.2">
      <c r="F190">
        <v>189</v>
      </c>
      <c r="G190" s="2">
        <f t="shared" si="22"/>
        <v>51135</v>
      </c>
      <c r="H190" s="4">
        <f t="shared" si="23"/>
        <v>300666.54764028819</v>
      </c>
      <c r="I190" s="4">
        <f t="shared" si="24"/>
        <v>2684.1081150606951</v>
      </c>
      <c r="J190" s="4">
        <f t="shared" si="25"/>
        <v>100</v>
      </c>
      <c r="K190" s="4">
        <f t="shared" si="27"/>
        <v>2784.1081150606951</v>
      </c>
      <c r="L190" s="4">
        <f t="shared" si="28"/>
        <v>1531.3308332261611</v>
      </c>
      <c r="M190" s="4">
        <f t="shared" si="26"/>
        <v>1252.7772818345341</v>
      </c>
      <c r="N190" s="4">
        <f t="shared" si="29"/>
        <v>299135.21680706204</v>
      </c>
      <c r="O190" s="4">
        <f t="shared" si="30"/>
        <v>325331.65055353323</v>
      </c>
    </row>
    <row r="191" spans="6:15" x14ac:dyDescent="0.2">
      <c r="F191">
        <v>190</v>
      </c>
      <c r="G191" s="2">
        <f t="shared" si="22"/>
        <v>51166</v>
      </c>
      <c r="H191" s="4">
        <f t="shared" si="23"/>
        <v>299135.21680706204</v>
      </c>
      <c r="I191" s="4">
        <f t="shared" si="24"/>
        <v>2684.1081150606951</v>
      </c>
      <c r="J191" s="4">
        <f t="shared" si="25"/>
        <v>100</v>
      </c>
      <c r="K191" s="4">
        <f t="shared" si="27"/>
        <v>2784.1081150606951</v>
      </c>
      <c r="L191" s="4">
        <f t="shared" si="28"/>
        <v>1537.7113783646032</v>
      </c>
      <c r="M191" s="4">
        <f t="shared" si="26"/>
        <v>1246.3967366960919</v>
      </c>
      <c r="N191" s="4">
        <f t="shared" si="29"/>
        <v>297597.50542869745</v>
      </c>
      <c r="O191" s="4">
        <f t="shared" si="30"/>
        <v>326578.0472902293</v>
      </c>
    </row>
    <row r="192" spans="6:15" x14ac:dyDescent="0.2">
      <c r="F192">
        <v>191</v>
      </c>
      <c r="G192" s="2">
        <f t="shared" si="22"/>
        <v>51195</v>
      </c>
      <c r="H192" s="4">
        <f t="shared" si="23"/>
        <v>297597.50542869745</v>
      </c>
      <c r="I192" s="4">
        <f t="shared" si="24"/>
        <v>2684.1081150606951</v>
      </c>
      <c r="J192" s="4">
        <f t="shared" si="25"/>
        <v>100</v>
      </c>
      <c r="K192" s="4">
        <f t="shared" si="27"/>
        <v>2784.1081150606951</v>
      </c>
      <c r="L192" s="4">
        <f t="shared" si="28"/>
        <v>1544.1185091077889</v>
      </c>
      <c r="M192" s="4">
        <f t="shared" si="26"/>
        <v>1239.9896059529062</v>
      </c>
      <c r="N192" s="4">
        <f t="shared" si="29"/>
        <v>296053.38691958966</v>
      </c>
      <c r="O192" s="4">
        <f t="shared" si="30"/>
        <v>327818.03689618222</v>
      </c>
    </row>
    <row r="193" spans="6:15" x14ac:dyDescent="0.2">
      <c r="F193">
        <v>192</v>
      </c>
      <c r="G193" s="2">
        <f t="shared" si="22"/>
        <v>51226</v>
      </c>
      <c r="H193" s="4">
        <f t="shared" si="23"/>
        <v>296053.38691958966</v>
      </c>
      <c r="I193" s="4">
        <f t="shared" si="24"/>
        <v>2684.1081150606951</v>
      </c>
      <c r="J193" s="4">
        <f t="shared" si="25"/>
        <v>100</v>
      </c>
      <c r="K193" s="4">
        <f t="shared" si="27"/>
        <v>2784.1081150606951</v>
      </c>
      <c r="L193" s="4">
        <f t="shared" si="28"/>
        <v>1550.5523362290714</v>
      </c>
      <c r="M193" s="4">
        <f t="shared" si="26"/>
        <v>1233.5557788316237</v>
      </c>
      <c r="N193" s="4">
        <f t="shared" si="29"/>
        <v>294502.83458336059</v>
      </c>
      <c r="O193" s="4">
        <f t="shared" si="30"/>
        <v>329051.59267501388</v>
      </c>
    </row>
    <row r="194" spans="6:15" x14ac:dyDescent="0.2">
      <c r="F194">
        <v>193</v>
      </c>
      <c r="G194" s="2">
        <f t="shared" ref="G194:G257" si="31">IF(F194 &lt;&gt; "", EOMONTH(D$7, ROW() - 1 - 1), "")</f>
        <v>51256</v>
      </c>
      <c r="H194" s="4">
        <f t="shared" ref="H194:H257" si="32">IF(F194&lt;&gt;"", IF(F194 = 1, D$3, N193),  "")</f>
        <v>294502.83458336059</v>
      </c>
      <c r="I194" s="4">
        <f t="shared" ref="I194:I257" si="33">IF(F194&lt;&gt;"", D$12, "")</f>
        <v>2684.1081150606951</v>
      </c>
      <c r="J194" s="4">
        <f t="shared" ref="J194:J257" si="34">IF(F194 &lt;&gt; "", D$8, "")</f>
        <v>100</v>
      </c>
      <c r="K194" s="4">
        <f t="shared" si="27"/>
        <v>2784.1081150606951</v>
      </c>
      <c r="L194" s="4">
        <f t="shared" si="28"/>
        <v>1557.0129709633593</v>
      </c>
      <c r="M194" s="4">
        <f t="shared" ref="M194:M257" si="35">IF(F194 &lt;&gt; "", H194 * D$4/D$6, "")</f>
        <v>1227.0951440973358</v>
      </c>
      <c r="N194" s="4">
        <f t="shared" si="29"/>
        <v>292945.82161239721</v>
      </c>
      <c r="O194" s="4">
        <f t="shared" si="30"/>
        <v>330278.68781911122</v>
      </c>
    </row>
    <row r="195" spans="6:15" x14ac:dyDescent="0.2">
      <c r="F195">
        <v>194</v>
      </c>
      <c r="G195" s="2">
        <f t="shared" si="31"/>
        <v>51287</v>
      </c>
      <c r="H195" s="4">
        <f t="shared" si="32"/>
        <v>292945.82161239721</v>
      </c>
      <c r="I195" s="4">
        <f t="shared" si="33"/>
        <v>2684.1081150606951</v>
      </c>
      <c r="J195" s="4">
        <f t="shared" si="34"/>
        <v>100</v>
      </c>
      <c r="K195" s="4">
        <f t="shared" si="27"/>
        <v>2784.1081150606951</v>
      </c>
      <c r="L195" s="4">
        <f t="shared" si="28"/>
        <v>1563.5005250090401</v>
      </c>
      <c r="M195" s="4">
        <f t="shared" si="35"/>
        <v>1220.6075900516551</v>
      </c>
      <c r="N195" s="4">
        <f t="shared" si="29"/>
        <v>291382.32108738815</v>
      </c>
      <c r="O195" s="4">
        <f t="shared" si="30"/>
        <v>331499.29540916288</v>
      </c>
    </row>
    <row r="196" spans="6:15" x14ac:dyDescent="0.2">
      <c r="F196">
        <v>195</v>
      </c>
      <c r="G196" s="2">
        <f t="shared" si="31"/>
        <v>51317</v>
      </c>
      <c r="H196" s="4">
        <f t="shared" si="32"/>
        <v>291382.32108738815</v>
      </c>
      <c r="I196" s="4">
        <f t="shared" si="33"/>
        <v>2684.1081150606951</v>
      </c>
      <c r="J196" s="4">
        <f t="shared" si="34"/>
        <v>100</v>
      </c>
      <c r="K196" s="4">
        <f t="shared" si="27"/>
        <v>2784.1081150606951</v>
      </c>
      <c r="L196" s="4">
        <f t="shared" si="28"/>
        <v>1570.0151105299112</v>
      </c>
      <c r="M196" s="4">
        <f t="shared" si="35"/>
        <v>1214.0930045307839</v>
      </c>
      <c r="N196" s="4">
        <f t="shared" si="29"/>
        <v>289812.30597685825</v>
      </c>
      <c r="O196" s="4">
        <f t="shared" si="30"/>
        <v>332713.38841369364</v>
      </c>
    </row>
    <row r="197" spans="6:15" x14ac:dyDescent="0.2">
      <c r="F197">
        <v>196</v>
      </c>
      <c r="G197" s="2">
        <f t="shared" si="31"/>
        <v>51348</v>
      </c>
      <c r="H197" s="4">
        <f t="shared" si="32"/>
        <v>289812.30597685825</v>
      </c>
      <c r="I197" s="4">
        <f t="shared" si="33"/>
        <v>2684.1081150606951</v>
      </c>
      <c r="J197" s="4">
        <f t="shared" si="34"/>
        <v>100</v>
      </c>
      <c r="K197" s="4">
        <f t="shared" ref="K197:K260" si="36">IF(F197 &lt;&gt; "", I197+J197, "")</f>
        <v>2784.1081150606951</v>
      </c>
      <c r="L197" s="4">
        <f t="shared" ref="L197:L260" si="37">IF(F197&lt;&gt;"",K197-M197,"")</f>
        <v>1576.556840157119</v>
      </c>
      <c r="M197" s="4">
        <f t="shared" si="35"/>
        <v>1207.5512749035761</v>
      </c>
      <c r="N197" s="4">
        <f t="shared" ref="N197:N260" si="38">IF(F197 &lt;&gt; "", IF(H197-L197 &lt; 0, 0, H197-L197), "")</f>
        <v>288235.74913670111</v>
      </c>
      <c r="O197" s="4">
        <f t="shared" ref="O197:O260" si="39">IF(F197&lt;&gt;"", IF(F197 = 1, 0, O196) + M197, "")</f>
        <v>333920.93968859722</v>
      </c>
    </row>
    <row r="198" spans="6:15" x14ac:dyDescent="0.2">
      <c r="F198">
        <v>197</v>
      </c>
      <c r="G198" s="2">
        <f t="shared" si="31"/>
        <v>51379</v>
      </c>
      <c r="H198" s="4">
        <f t="shared" si="32"/>
        <v>288235.74913670111</v>
      </c>
      <c r="I198" s="4">
        <f t="shared" si="33"/>
        <v>2684.1081150606951</v>
      </c>
      <c r="J198" s="4">
        <f t="shared" si="34"/>
        <v>100</v>
      </c>
      <c r="K198" s="4">
        <f t="shared" si="36"/>
        <v>2784.1081150606951</v>
      </c>
      <c r="L198" s="4">
        <f t="shared" si="37"/>
        <v>1583.125826991107</v>
      </c>
      <c r="M198" s="4">
        <f t="shared" si="35"/>
        <v>1200.9822880695881</v>
      </c>
      <c r="N198" s="4">
        <f t="shared" si="38"/>
        <v>286652.62330971</v>
      </c>
      <c r="O198" s="4">
        <f t="shared" si="39"/>
        <v>335121.92197666684</v>
      </c>
    </row>
    <row r="199" spans="6:15" x14ac:dyDescent="0.2">
      <c r="F199">
        <v>198</v>
      </c>
      <c r="G199" s="2">
        <f t="shared" si="31"/>
        <v>51409</v>
      </c>
      <c r="H199" s="4">
        <f t="shared" si="32"/>
        <v>286652.62330971</v>
      </c>
      <c r="I199" s="4">
        <f t="shared" si="33"/>
        <v>2684.1081150606951</v>
      </c>
      <c r="J199" s="4">
        <f t="shared" si="34"/>
        <v>100</v>
      </c>
      <c r="K199" s="4">
        <f t="shared" si="36"/>
        <v>2784.1081150606951</v>
      </c>
      <c r="L199" s="4">
        <f t="shared" si="37"/>
        <v>1589.72218460357</v>
      </c>
      <c r="M199" s="4">
        <f t="shared" si="35"/>
        <v>1194.3859304571251</v>
      </c>
      <c r="N199" s="4">
        <f t="shared" si="38"/>
        <v>285062.90112510644</v>
      </c>
      <c r="O199" s="4">
        <f t="shared" si="39"/>
        <v>336316.30790712399</v>
      </c>
    </row>
    <row r="200" spans="6:15" x14ac:dyDescent="0.2">
      <c r="F200">
        <v>199</v>
      </c>
      <c r="G200" s="2">
        <f t="shared" si="31"/>
        <v>51440</v>
      </c>
      <c r="H200" s="4">
        <f t="shared" si="32"/>
        <v>285062.90112510644</v>
      </c>
      <c r="I200" s="4">
        <f t="shared" si="33"/>
        <v>2684.1081150606951</v>
      </c>
      <c r="J200" s="4">
        <f t="shared" si="34"/>
        <v>100</v>
      </c>
      <c r="K200" s="4">
        <f t="shared" si="36"/>
        <v>2784.1081150606951</v>
      </c>
      <c r="L200" s="4">
        <f t="shared" si="37"/>
        <v>1596.3460270394182</v>
      </c>
      <c r="M200" s="4">
        <f t="shared" si="35"/>
        <v>1187.7620880212769</v>
      </c>
      <c r="N200" s="4">
        <f t="shared" si="38"/>
        <v>283466.55509806704</v>
      </c>
      <c r="O200" s="4">
        <f t="shared" si="39"/>
        <v>337504.06999514526</v>
      </c>
    </row>
    <row r="201" spans="6:15" x14ac:dyDescent="0.2">
      <c r="F201">
        <v>200</v>
      </c>
      <c r="G201" s="2">
        <f t="shared" si="31"/>
        <v>51470</v>
      </c>
      <c r="H201" s="4">
        <f t="shared" si="32"/>
        <v>283466.55509806704</v>
      </c>
      <c r="I201" s="4">
        <f t="shared" si="33"/>
        <v>2684.1081150606951</v>
      </c>
      <c r="J201" s="4">
        <f t="shared" si="34"/>
        <v>100</v>
      </c>
      <c r="K201" s="4">
        <f t="shared" si="36"/>
        <v>2784.1081150606951</v>
      </c>
      <c r="L201" s="4">
        <f t="shared" si="37"/>
        <v>1602.9974688187492</v>
      </c>
      <c r="M201" s="4">
        <f t="shared" si="35"/>
        <v>1181.1106462419459</v>
      </c>
      <c r="N201" s="4">
        <f t="shared" si="38"/>
        <v>281863.5576292483</v>
      </c>
      <c r="O201" s="4">
        <f t="shared" si="39"/>
        <v>338685.18064138718</v>
      </c>
    </row>
    <row r="202" spans="6:15" x14ac:dyDescent="0.2">
      <c r="F202">
        <v>201</v>
      </c>
      <c r="G202" s="2">
        <f t="shared" si="31"/>
        <v>51501</v>
      </c>
      <c r="H202" s="4">
        <f t="shared" si="32"/>
        <v>281863.5576292483</v>
      </c>
      <c r="I202" s="4">
        <f t="shared" si="33"/>
        <v>2684.1081150606951</v>
      </c>
      <c r="J202" s="4">
        <f t="shared" si="34"/>
        <v>100</v>
      </c>
      <c r="K202" s="4">
        <f t="shared" si="36"/>
        <v>2784.1081150606951</v>
      </c>
      <c r="L202" s="4">
        <f t="shared" si="37"/>
        <v>1609.6766249388272</v>
      </c>
      <c r="M202" s="4">
        <f t="shared" si="35"/>
        <v>1174.4314901218679</v>
      </c>
      <c r="N202" s="4">
        <f t="shared" si="38"/>
        <v>280253.88100430946</v>
      </c>
      <c r="O202" s="4">
        <f t="shared" si="39"/>
        <v>339859.61213150906</v>
      </c>
    </row>
    <row r="203" spans="6:15" x14ac:dyDescent="0.2">
      <c r="F203">
        <v>202</v>
      </c>
      <c r="G203" s="2">
        <f t="shared" si="31"/>
        <v>51532</v>
      </c>
      <c r="H203" s="4">
        <f t="shared" si="32"/>
        <v>280253.88100430946</v>
      </c>
      <c r="I203" s="4">
        <f t="shared" si="33"/>
        <v>2684.1081150606951</v>
      </c>
      <c r="J203" s="4">
        <f t="shared" si="34"/>
        <v>100</v>
      </c>
      <c r="K203" s="4">
        <f t="shared" si="36"/>
        <v>2784.1081150606951</v>
      </c>
      <c r="L203" s="4">
        <f t="shared" si="37"/>
        <v>1616.3836108760722</v>
      </c>
      <c r="M203" s="4">
        <f t="shared" si="35"/>
        <v>1167.7245041846229</v>
      </c>
      <c r="N203" s="4">
        <f t="shared" si="38"/>
        <v>278637.49739343341</v>
      </c>
      <c r="O203" s="4">
        <f t="shared" si="39"/>
        <v>341027.33663569367</v>
      </c>
    </row>
    <row r="204" spans="6:15" x14ac:dyDescent="0.2">
      <c r="F204">
        <v>203</v>
      </c>
      <c r="G204" s="2">
        <f t="shared" si="31"/>
        <v>51560</v>
      </c>
      <c r="H204" s="4">
        <f t="shared" si="32"/>
        <v>278637.49739343341</v>
      </c>
      <c r="I204" s="4">
        <f t="shared" si="33"/>
        <v>2684.1081150606951</v>
      </c>
      <c r="J204" s="4">
        <f t="shared" si="34"/>
        <v>100</v>
      </c>
      <c r="K204" s="4">
        <f t="shared" si="36"/>
        <v>2784.1081150606951</v>
      </c>
      <c r="L204" s="4">
        <f t="shared" si="37"/>
        <v>1623.1185425880558</v>
      </c>
      <c r="M204" s="4">
        <f t="shared" si="35"/>
        <v>1160.9895724726393</v>
      </c>
      <c r="N204" s="4">
        <f t="shared" si="38"/>
        <v>277014.37885084533</v>
      </c>
      <c r="O204" s="4">
        <f t="shared" si="39"/>
        <v>342188.32620816631</v>
      </c>
    </row>
    <row r="205" spans="6:15" x14ac:dyDescent="0.2">
      <c r="F205">
        <v>204</v>
      </c>
      <c r="G205" s="2">
        <f t="shared" si="31"/>
        <v>51591</v>
      </c>
      <c r="H205" s="4">
        <f t="shared" si="32"/>
        <v>277014.37885084533</v>
      </c>
      <c r="I205" s="4">
        <f t="shared" si="33"/>
        <v>2684.1081150606951</v>
      </c>
      <c r="J205" s="4">
        <f t="shared" si="34"/>
        <v>100</v>
      </c>
      <c r="K205" s="4">
        <f t="shared" si="36"/>
        <v>2784.1081150606951</v>
      </c>
      <c r="L205" s="4">
        <f t="shared" si="37"/>
        <v>1629.8815365155062</v>
      </c>
      <c r="M205" s="4">
        <f t="shared" si="35"/>
        <v>1154.2265785451889</v>
      </c>
      <c r="N205" s="4">
        <f t="shared" si="38"/>
        <v>275384.49731432984</v>
      </c>
      <c r="O205" s="4">
        <f t="shared" si="39"/>
        <v>343342.55278671149</v>
      </c>
    </row>
    <row r="206" spans="6:15" x14ac:dyDescent="0.2">
      <c r="F206">
        <v>205</v>
      </c>
      <c r="G206" s="2">
        <f t="shared" si="31"/>
        <v>51621</v>
      </c>
      <c r="H206" s="4">
        <f t="shared" si="32"/>
        <v>275384.49731432984</v>
      </c>
      <c r="I206" s="4">
        <f t="shared" si="33"/>
        <v>2684.1081150606951</v>
      </c>
      <c r="J206" s="4">
        <f t="shared" si="34"/>
        <v>100</v>
      </c>
      <c r="K206" s="4">
        <f t="shared" si="36"/>
        <v>2784.1081150606951</v>
      </c>
      <c r="L206" s="4">
        <f t="shared" si="37"/>
        <v>1636.6727095843207</v>
      </c>
      <c r="M206" s="4">
        <f t="shared" si="35"/>
        <v>1147.4354054763744</v>
      </c>
      <c r="N206" s="4">
        <f t="shared" si="38"/>
        <v>273747.82460474555</v>
      </c>
      <c r="O206" s="4">
        <f t="shared" si="39"/>
        <v>344489.98819218786</v>
      </c>
    </row>
    <row r="207" spans="6:15" x14ac:dyDescent="0.2">
      <c r="F207">
        <v>206</v>
      </c>
      <c r="G207" s="2">
        <f t="shared" si="31"/>
        <v>51652</v>
      </c>
      <c r="H207" s="4">
        <f t="shared" si="32"/>
        <v>273747.82460474555</v>
      </c>
      <c r="I207" s="4">
        <f t="shared" si="33"/>
        <v>2684.1081150606951</v>
      </c>
      <c r="J207" s="4">
        <f t="shared" si="34"/>
        <v>100</v>
      </c>
      <c r="K207" s="4">
        <f t="shared" si="36"/>
        <v>2784.1081150606951</v>
      </c>
      <c r="L207" s="4">
        <f t="shared" si="37"/>
        <v>1643.4921792075886</v>
      </c>
      <c r="M207" s="4">
        <f t="shared" si="35"/>
        <v>1140.6159358531065</v>
      </c>
      <c r="N207" s="4">
        <f t="shared" si="38"/>
        <v>272104.33242553798</v>
      </c>
      <c r="O207" s="4">
        <f t="shared" si="39"/>
        <v>345630.60412804096</v>
      </c>
    </row>
    <row r="208" spans="6:15" x14ac:dyDescent="0.2">
      <c r="F208">
        <v>207</v>
      </c>
      <c r="G208" s="2">
        <f t="shared" si="31"/>
        <v>51682</v>
      </c>
      <c r="H208" s="4">
        <f t="shared" si="32"/>
        <v>272104.33242553798</v>
      </c>
      <c r="I208" s="4">
        <f t="shared" si="33"/>
        <v>2684.1081150606951</v>
      </c>
      <c r="J208" s="4">
        <f t="shared" si="34"/>
        <v>100</v>
      </c>
      <c r="K208" s="4">
        <f t="shared" si="36"/>
        <v>2784.1081150606951</v>
      </c>
      <c r="L208" s="4">
        <f t="shared" si="37"/>
        <v>1650.3400632876201</v>
      </c>
      <c r="M208" s="4">
        <f t="shared" si="35"/>
        <v>1133.7680517730751</v>
      </c>
      <c r="N208" s="4">
        <f t="shared" si="38"/>
        <v>270453.99236225034</v>
      </c>
      <c r="O208" s="4">
        <f t="shared" si="39"/>
        <v>346764.37217981403</v>
      </c>
    </row>
    <row r="209" spans="6:15" x14ac:dyDescent="0.2">
      <c r="F209">
        <v>208</v>
      </c>
      <c r="G209" s="2">
        <f t="shared" si="31"/>
        <v>51713</v>
      </c>
      <c r="H209" s="4">
        <f t="shared" si="32"/>
        <v>270453.99236225034</v>
      </c>
      <c r="I209" s="4">
        <f t="shared" si="33"/>
        <v>2684.1081150606951</v>
      </c>
      <c r="J209" s="4">
        <f t="shared" si="34"/>
        <v>100</v>
      </c>
      <c r="K209" s="4">
        <f t="shared" si="36"/>
        <v>2784.1081150606951</v>
      </c>
      <c r="L209" s="4">
        <f t="shared" si="37"/>
        <v>1657.2164802179852</v>
      </c>
      <c r="M209" s="4">
        <f t="shared" si="35"/>
        <v>1126.8916348427099</v>
      </c>
      <c r="N209" s="4">
        <f t="shared" si="38"/>
        <v>268796.77588203235</v>
      </c>
      <c r="O209" s="4">
        <f t="shared" si="39"/>
        <v>347891.26381465676</v>
      </c>
    </row>
    <row r="210" spans="6:15" x14ac:dyDescent="0.2">
      <c r="F210">
        <v>209</v>
      </c>
      <c r="G210" s="2">
        <f t="shared" si="31"/>
        <v>51744</v>
      </c>
      <c r="H210" s="4">
        <f t="shared" si="32"/>
        <v>268796.77588203235</v>
      </c>
      <c r="I210" s="4">
        <f t="shared" si="33"/>
        <v>2684.1081150606951</v>
      </c>
      <c r="J210" s="4">
        <f t="shared" si="34"/>
        <v>100</v>
      </c>
      <c r="K210" s="4">
        <f t="shared" si="36"/>
        <v>2784.1081150606951</v>
      </c>
      <c r="L210" s="4">
        <f t="shared" si="37"/>
        <v>1664.1215488855603</v>
      </c>
      <c r="M210" s="4">
        <f t="shared" si="35"/>
        <v>1119.9865661751348</v>
      </c>
      <c r="N210" s="4">
        <f t="shared" si="38"/>
        <v>267132.65433314681</v>
      </c>
      <c r="O210" s="4">
        <f t="shared" si="39"/>
        <v>349011.25038083189</v>
      </c>
    </row>
    <row r="211" spans="6:15" x14ac:dyDescent="0.2">
      <c r="F211">
        <v>210</v>
      </c>
      <c r="G211" s="2">
        <f t="shared" si="31"/>
        <v>51774</v>
      </c>
      <c r="H211" s="4">
        <f t="shared" si="32"/>
        <v>267132.65433314681</v>
      </c>
      <c r="I211" s="4">
        <f t="shared" si="33"/>
        <v>2684.1081150606951</v>
      </c>
      <c r="J211" s="4">
        <f t="shared" si="34"/>
        <v>100</v>
      </c>
      <c r="K211" s="4">
        <f t="shared" si="36"/>
        <v>2784.1081150606951</v>
      </c>
      <c r="L211" s="4">
        <f t="shared" si="37"/>
        <v>1671.0553886725834</v>
      </c>
      <c r="M211" s="4">
        <f t="shared" si="35"/>
        <v>1113.0527263881118</v>
      </c>
      <c r="N211" s="4">
        <f t="shared" si="38"/>
        <v>265461.59894447424</v>
      </c>
      <c r="O211" s="4">
        <f t="shared" si="39"/>
        <v>350124.30310721998</v>
      </c>
    </row>
    <row r="212" spans="6:15" x14ac:dyDescent="0.2">
      <c r="F212">
        <v>211</v>
      </c>
      <c r="G212" s="2">
        <f t="shared" si="31"/>
        <v>51805</v>
      </c>
      <c r="H212" s="4">
        <f t="shared" si="32"/>
        <v>265461.59894447424</v>
      </c>
      <c r="I212" s="4">
        <f t="shared" si="33"/>
        <v>2684.1081150606951</v>
      </c>
      <c r="J212" s="4">
        <f t="shared" si="34"/>
        <v>100</v>
      </c>
      <c r="K212" s="4">
        <f t="shared" si="36"/>
        <v>2784.1081150606951</v>
      </c>
      <c r="L212" s="4">
        <f t="shared" si="37"/>
        <v>1678.0181194587192</v>
      </c>
      <c r="M212" s="4">
        <f t="shared" si="35"/>
        <v>1106.0899956019759</v>
      </c>
      <c r="N212" s="4">
        <f t="shared" si="38"/>
        <v>263783.58082501555</v>
      </c>
      <c r="O212" s="4">
        <f t="shared" si="39"/>
        <v>351230.39310282195</v>
      </c>
    </row>
    <row r="213" spans="6:15" x14ac:dyDescent="0.2">
      <c r="F213">
        <v>212</v>
      </c>
      <c r="G213" s="2">
        <f t="shared" si="31"/>
        <v>51835</v>
      </c>
      <c r="H213" s="4">
        <f t="shared" si="32"/>
        <v>263783.58082501555</v>
      </c>
      <c r="I213" s="4">
        <f t="shared" si="33"/>
        <v>2684.1081150606951</v>
      </c>
      <c r="J213" s="4">
        <f t="shared" si="34"/>
        <v>100</v>
      </c>
      <c r="K213" s="4">
        <f t="shared" si="36"/>
        <v>2784.1081150606951</v>
      </c>
      <c r="L213" s="4">
        <f t="shared" si="37"/>
        <v>1685.0098616231303</v>
      </c>
      <c r="M213" s="4">
        <f t="shared" si="35"/>
        <v>1099.0982534375648</v>
      </c>
      <c r="N213" s="4">
        <f t="shared" si="38"/>
        <v>262098.57096339241</v>
      </c>
      <c r="O213" s="4">
        <f t="shared" si="39"/>
        <v>352329.4913562595</v>
      </c>
    </row>
    <row r="214" spans="6:15" x14ac:dyDescent="0.2">
      <c r="F214">
        <v>213</v>
      </c>
      <c r="G214" s="2">
        <f t="shared" si="31"/>
        <v>51866</v>
      </c>
      <c r="H214" s="4">
        <f t="shared" si="32"/>
        <v>262098.57096339241</v>
      </c>
      <c r="I214" s="4">
        <f t="shared" si="33"/>
        <v>2684.1081150606951</v>
      </c>
      <c r="J214" s="4">
        <f t="shared" si="34"/>
        <v>100</v>
      </c>
      <c r="K214" s="4">
        <f t="shared" si="36"/>
        <v>2784.1081150606951</v>
      </c>
      <c r="L214" s="4">
        <f t="shared" si="37"/>
        <v>1692.0307360465602</v>
      </c>
      <c r="M214" s="4">
        <f t="shared" si="35"/>
        <v>1092.077379014135</v>
      </c>
      <c r="N214" s="4">
        <f t="shared" si="38"/>
        <v>260406.54022734586</v>
      </c>
      <c r="O214" s="4">
        <f t="shared" si="39"/>
        <v>353421.56873527361</v>
      </c>
    </row>
    <row r="215" spans="6:15" x14ac:dyDescent="0.2">
      <c r="F215">
        <v>214</v>
      </c>
      <c r="G215" s="2">
        <f t="shared" si="31"/>
        <v>51897</v>
      </c>
      <c r="H215" s="4">
        <f t="shared" si="32"/>
        <v>260406.54022734586</v>
      </c>
      <c r="I215" s="4">
        <f t="shared" si="33"/>
        <v>2684.1081150606951</v>
      </c>
      <c r="J215" s="4">
        <f t="shared" si="34"/>
        <v>100</v>
      </c>
      <c r="K215" s="4">
        <f t="shared" si="36"/>
        <v>2784.1081150606951</v>
      </c>
      <c r="L215" s="4">
        <f t="shared" si="37"/>
        <v>1699.0808641134206</v>
      </c>
      <c r="M215" s="4">
        <f t="shared" si="35"/>
        <v>1085.0272509472745</v>
      </c>
      <c r="N215" s="4">
        <f t="shared" si="38"/>
        <v>258707.45936323245</v>
      </c>
      <c r="O215" s="4">
        <f t="shared" si="39"/>
        <v>354506.59598622087</v>
      </c>
    </row>
    <row r="216" spans="6:15" x14ac:dyDescent="0.2">
      <c r="F216">
        <v>215</v>
      </c>
      <c r="G216" s="2">
        <f t="shared" si="31"/>
        <v>51925</v>
      </c>
      <c r="H216" s="4">
        <f t="shared" si="32"/>
        <v>258707.45936323245</v>
      </c>
      <c r="I216" s="4">
        <f t="shared" si="33"/>
        <v>2684.1081150606951</v>
      </c>
      <c r="J216" s="4">
        <f t="shared" si="34"/>
        <v>100</v>
      </c>
      <c r="K216" s="4">
        <f t="shared" si="36"/>
        <v>2784.1081150606951</v>
      </c>
      <c r="L216" s="4">
        <f t="shared" si="37"/>
        <v>1706.160367713893</v>
      </c>
      <c r="M216" s="4">
        <f t="shared" si="35"/>
        <v>1077.9477473468021</v>
      </c>
      <c r="N216" s="4">
        <f t="shared" si="38"/>
        <v>257001.29899551856</v>
      </c>
      <c r="O216" s="4">
        <f t="shared" si="39"/>
        <v>355584.5437335677</v>
      </c>
    </row>
    <row r="217" spans="6:15" x14ac:dyDescent="0.2">
      <c r="F217">
        <v>216</v>
      </c>
      <c r="G217" s="2">
        <f t="shared" si="31"/>
        <v>51956</v>
      </c>
      <c r="H217" s="4">
        <f t="shared" si="32"/>
        <v>257001.29899551856</v>
      </c>
      <c r="I217" s="4">
        <f t="shared" si="33"/>
        <v>2684.1081150606951</v>
      </c>
      <c r="J217" s="4">
        <f t="shared" si="34"/>
        <v>100</v>
      </c>
      <c r="K217" s="4">
        <f t="shared" si="36"/>
        <v>2784.1081150606951</v>
      </c>
      <c r="L217" s="4">
        <f t="shared" si="37"/>
        <v>1713.2693692460343</v>
      </c>
      <c r="M217" s="4">
        <f t="shared" si="35"/>
        <v>1070.8387458146608</v>
      </c>
      <c r="N217" s="4">
        <f t="shared" si="38"/>
        <v>255288.02962627253</v>
      </c>
      <c r="O217" s="4">
        <f t="shared" si="39"/>
        <v>356655.38247938233</v>
      </c>
    </row>
    <row r="218" spans="6:15" x14ac:dyDescent="0.2">
      <c r="F218">
        <v>217</v>
      </c>
      <c r="G218" s="2">
        <f t="shared" si="31"/>
        <v>51986</v>
      </c>
      <c r="H218" s="4">
        <f t="shared" si="32"/>
        <v>255288.02962627253</v>
      </c>
      <c r="I218" s="4">
        <f t="shared" si="33"/>
        <v>2684.1081150606951</v>
      </c>
      <c r="J218" s="4">
        <f t="shared" si="34"/>
        <v>100</v>
      </c>
      <c r="K218" s="4">
        <f t="shared" si="36"/>
        <v>2784.1081150606951</v>
      </c>
      <c r="L218" s="4">
        <f t="shared" si="37"/>
        <v>1720.4079916178928</v>
      </c>
      <c r="M218" s="4">
        <f t="shared" si="35"/>
        <v>1063.7001234428024</v>
      </c>
      <c r="N218" s="4">
        <f t="shared" si="38"/>
        <v>253567.62163465464</v>
      </c>
      <c r="O218" s="4">
        <f t="shared" si="39"/>
        <v>357719.08260282513</v>
      </c>
    </row>
    <row r="219" spans="6:15" x14ac:dyDescent="0.2">
      <c r="F219">
        <v>218</v>
      </c>
      <c r="G219" s="2">
        <f t="shared" si="31"/>
        <v>52017</v>
      </c>
      <c r="H219" s="4">
        <f t="shared" si="32"/>
        <v>253567.62163465464</v>
      </c>
      <c r="I219" s="4">
        <f t="shared" si="33"/>
        <v>2684.1081150606951</v>
      </c>
      <c r="J219" s="4">
        <f t="shared" si="34"/>
        <v>100</v>
      </c>
      <c r="K219" s="4">
        <f t="shared" si="36"/>
        <v>2784.1081150606951</v>
      </c>
      <c r="L219" s="4">
        <f t="shared" si="37"/>
        <v>1727.576358249634</v>
      </c>
      <c r="M219" s="4">
        <f t="shared" si="35"/>
        <v>1056.5317568110611</v>
      </c>
      <c r="N219" s="4">
        <f t="shared" si="38"/>
        <v>251840.045276405</v>
      </c>
      <c r="O219" s="4">
        <f t="shared" si="39"/>
        <v>358775.61435963621</v>
      </c>
    </row>
    <row r="220" spans="6:15" x14ac:dyDescent="0.2">
      <c r="F220">
        <v>219</v>
      </c>
      <c r="G220" s="2">
        <f t="shared" si="31"/>
        <v>52047</v>
      </c>
      <c r="H220" s="4">
        <f t="shared" si="32"/>
        <v>251840.045276405</v>
      </c>
      <c r="I220" s="4">
        <f t="shared" si="33"/>
        <v>2684.1081150606951</v>
      </c>
      <c r="J220" s="4">
        <f t="shared" si="34"/>
        <v>100</v>
      </c>
      <c r="K220" s="4">
        <f t="shared" si="36"/>
        <v>2784.1081150606951</v>
      </c>
      <c r="L220" s="4">
        <f t="shared" si="37"/>
        <v>1734.7745930756744</v>
      </c>
      <c r="M220" s="4">
        <f t="shared" si="35"/>
        <v>1049.3335219850208</v>
      </c>
      <c r="N220" s="4">
        <f t="shared" si="38"/>
        <v>250105.27068332932</v>
      </c>
      <c r="O220" s="4">
        <f t="shared" si="39"/>
        <v>359824.94788162125</v>
      </c>
    </row>
    <row r="221" spans="6:15" x14ac:dyDescent="0.2">
      <c r="F221">
        <v>220</v>
      </c>
      <c r="G221" s="2">
        <f t="shared" si="31"/>
        <v>52078</v>
      </c>
      <c r="H221" s="4">
        <f t="shared" si="32"/>
        <v>250105.27068332932</v>
      </c>
      <c r="I221" s="4">
        <f t="shared" si="33"/>
        <v>2684.1081150606951</v>
      </c>
      <c r="J221" s="4">
        <f t="shared" si="34"/>
        <v>100</v>
      </c>
      <c r="K221" s="4">
        <f t="shared" si="36"/>
        <v>2784.1081150606951</v>
      </c>
      <c r="L221" s="4">
        <f t="shared" si="37"/>
        <v>1742.0028205468229</v>
      </c>
      <c r="M221" s="4">
        <f t="shared" si="35"/>
        <v>1042.1052945138722</v>
      </c>
      <c r="N221" s="4">
        <f t="shared" si="38"/>
        <v>248363.26786278249</v>
      </c>
      <c r="O221" s="4">
        <f t="shared" si="39"/>
        <v>360867.05317613512</v>
      </c>
    </row>
    <row r="222" spans="6:15" x14ac:dyDescent="0.2">
      <c r="F222">
        <v>221</v>
      </c>
      <c r="G222" s="2">
        <f t="shared" si="31"/>
        <v>52109</v>
      </c>
      <c r="H222" s="4">
        <f t="shared" si="32"/>
        <v>248363.26786278249</v>
      </c>
      <c r="I222" s="4">
        <f t="shared" si="33"/>
        <v>2684.1081150606951</v>
      </c>
      <c r="J222" s="4">
        <f t="shared" si="34"/>
        <v>100</v>
      </c>
      <c r="K222" s="4">
        <f t="shared" si="36"/>
        <v>2784.1081150606951</v>
      </c>
      <c r="L222" s="4">
        <f t="shared" si="37"/>
        <v>1749.2611656324345</v>
      </c>
      <c r="M222" s="4">
        <f t="shared" si="35"/>
        <v>1034.8469494282606</v>
      </c>
      <c r="N222" s="4">
        <f t="shared" si="38"/>
        <v>246614.00669715006</v>
      </c>
      <c r="O222" s="4">
        <f t="shared" si="39"/>
        <v>361901.90012556338</v>
      </c>
    </row>
    <row r="223" spans="6:15" x14ac:dyDescent="0.2">
      <c r="F223">
        <v>222</v>
      </c>
      <c r="G223" s="2">
        <f t="shared" si="31"/>
        <v>52139</v>
      </c>
      <c r="H223" s="4">
        <f t="shared" si="32"/>
        <v>246614.00669715006</v>
      </c>
      <c r="I223" s="4">
        <f t="shared" si="33"/>
        <v>2684.1081150606951</v>
      </c>
      <c r="J223" s="4">
        <f t="shared" si="34"/>
        <v>100</v>
      </c>
      <c r="K223" s="4">
        <f t="shared" si="36"/>
        <v>2784.1081150606951</v>
      </c>
      <c r="L223" s="4">
        <f t="shared" si="37"/>
        <v>1756.5497538225698</v>
      </c>
      <c r="M223" s="4">
        <f t="shared" si="35"/>
        <v>1027.5583612381254</v>
      </c>
      <c r="N223" s="4">
        <f t="shared" si="38"/>
        <v>244857.4569433275</v>
      </c>
      <c r="O223" s="4">
        <f t="shared" si="39"/>
        <v>362929.45848680148</v>
      </c>
    </row>
    <row r="224" spans="6:15" x14ac:dyDescent="0.2">
      <c r="F224">
        <v>223</v>
      </c>
      <c r="G224" s="2">
        <f t="shared" si="31"/>
        <v>52170</v>
      </c>
      <c r="H224" s="4">
        <f t="shared" si="32"/>
        <v>244857.4569433275</v>
      </c>
      <c r="I224" s="4">
        <f t="shared" si="33"/>
        <v>2684.1081150606951</v>
      </c>
      <c r="J224" s="4">
        <f t="shared" si="34"/>
        <v>100</v>
      </c>
      <c r="K224" s="4">
        <f t="shared" si="36"/>
        <v>2784.1081150606951</v>
      </c>
      <c r="L224" s="4">
        <f t="shared" si="37"/>
        <v>1763.8687111301638</v>
      </c>
      <c r="M224" s="4">
        <f t="shared" si="35"/>
        <v>1020.2394039305314</v>
      </c>
      <c r="N224" s="4">
        <f t="shared" si="38"/>
        <v>243093.58823219733</v>
      </c>
      <c r="O224" s="4">
        <f t="shared" si="39"/>
        <v>363949.69789073203</v>
      </c>
    </row>
    <row r="225" spans="6:15" x14ac:dyDescent="0.2">
      <c r="F225">
        <v>224</v>
      </c>
      <c r="G225" s="2">
        <f t="shared" si="31"/>
        <v>52200</v>
      </c>
      <c r="H225" s="4">
        <f t="shared" si="32"/>
        <v>243093.58823219733</v>
      </c>
      <c r="I225" s="4">
        <f t="shared" si="33"/>
        <v>2684.1081150606951</v>
      </c>
      <c r="J225" s="4">
        <f t="shared" si="34"/>
        <v>100</v>
      </c>
      <c r="K225" s="4">
        <f t="shared" si="36"/>
        <v>2784.1081150606951</v>
      </c>
      <c r="L225" s="4">
        <f t="shared" si="37"/>
        <v>1771.2181640932063</v>
      </c>
      <c r="M225" s="4">
        <f t="shared" si="35"/>
        <v>1012.889950967489</v>
      </c>
      <c r="N225" s="4">
        <f t="shared" si="38"/>
        <v>241322.37006810412</v>
      </c>
      <c r="O225" s="4">
        <f t="shared" si="39"/>
        <v>364962.58784169954</v>
      </c>
    </row>
    <row r="226" spans="6:15" x14ac:dyDescent="0.2">
      <c r="F226">
        <v>225</v>
      </c>
      <c r="G226" s="2">
        <f t="shared" si="31"/>
        <v>52231</v>
      </c>
      <c r="H226" s="4">
        <f t="shared" si="32"/>
        <v>241322.37006810412</v>
      </c>
      <c r="I226" s="4">
        <f t="shared" si="33"/>
        <v>2684.1081150606951</v>
      </c>
      <c r="J226" s="4">
        <f t="shared" si="34"/>
        <v>100</v>
      </c>
      <c r="K226" s="4">
        <f t="shared" si="36"/>
        <v>2784.1081150606951</v>
      </c>
      <c r="L226" s="4">
        <f t="shared" si="37"/>
        <v>1778.598239776928</v>
      </c>
      <c r="M226" s="4">
        <f t="shared" si="35"/>
        <v>1005.5098752837672</v>
      </c>
      <c r="N226" s="4">
        <f t="shared" si="38"/>
        <v>239543.77182832718</v>
      </c>
      <c r="O226" s="4">
        <f t="shared" si="39"/>
        <v>365968.09771698329</v>
      </c>
    </row>
    <row r="227" spans="6:15" x14ac:dyDescent="0.2">
      <c r="F227">
        <v>226</v>
      </c>
      <c r="G227" s="2">
        <f t="shared" si="31"/>
        <v>52262</v>
      </c>
      <c r="H227" s="4">
        <f t="shared" si="32"/>
        <v>239543.77182832718</v>
      </c>
      <c r="I227" s="4">
        <f t="shared" si="33"/>
        <v>2684.1081150606951</v>
      </c>
      <c r="J227" s="4">
        <f t="shared" si="34"/>
        <v>100</v>
      </c>
      <c r="K227" s="4">
        <f t="shared" si="36"/>
        <v>2784.1081150606951</v>
      </c>
      <c r="L227" s="4">
        <f t="shared" si="37"/>
        <v>1786.0090657759984</v>
      </c>
      <c r="M227" s="4">
        <f t="shared" si="35"/>
        <v>998.09904928469666</v>
      </c>
      <c r="N227" s="4">
        <f t="shared" si="38"/>
        <v>237757.7627625512</v>
      </c>
      <c r="O227" s="4">
        <f t="shared" si="39"/>
        <v>366966.196766268</v>
      </c>
    </row>
    <row r="228" spans="6:15" x14ac:dyDescent="0.2">
      <c r="F228">
        <v>227</v>
      </c>
      <c r="G228" s="2">
        <f t="shared" si="31"/>
        <v>52290</v>
      </c>
      <c r="H228" s="4">
        <f t="shared" si="32"/>
        <v>237757.7627625512</v>
      </c>
      <c r="I228" s="4">
        <f t="shared" si="33"/>
        <v>2684.1081150606951</v>
      </c>
      <c r="J228" s="4">
        <f t="shared" si="34"/>
        <v>100</v>
      </c>
      <c r="K228" s="4">
        <f t="shared" si="36"/>
        <v>2784.1081150606951</v>
      </c>
      <c r="L228" s="4">
        <f t="shared" si="37"/>
        <v>1793.4507702167316</v>
      </c>
      <c r="M228" s="4">
        <f t="shared" si="35"/>
        <v>990.65734484396341</v>
      </c>
      <c r="N228" s="4">
        <f t="shared" si="38"/>
        <v>235964.31199233446</v>
      </c>
      <c r="O228" s="4">
        <f t="shared" si="39"/>
        <v>367956.85411111196</v>
      </c>
    </row>
    <row r="229" spans="6:15" x14ac:dyDescent="0.2">
      <c r="F229">
        <v>228</v>
      </c>
      <c r="G229" s="2">
        <f t="shared" si="31"/>
        <v>52321</v>
      </c>
      <c r="H229" s="4">
        <f t="shared" si="32"/>
        <v>235964.31199233446</v>
      </c>
      <c r="I229" s="4">
        <f t="shared" si="33"/>
        <v>2684.1081150606951</v>
      </c>
      <c r="J229" s="4">
        <f t="shared" si="34"/>
        <v>100</v>
      </c>
      <c r="K229" s="4">
        <f t="shared" si="36"/>
        <v>2784.1081150606951</v>
      </c>
      <c r="L229" s="4">
        <f t="shared" si="37"/>
        <v>1800.9234817593015</v>
      </c>
      <c r="M229" s="4">
        <f t="shared" si="35"/>
        <v>983.18463330139366</v>
      </c>
      <c r="N229" s="4">
        <f t="shared" si="38"/>
        <v>234163.38851057517</v>
      </c>
      <c r="O229" s="4">
        <f t="shared" si="39"/>
        <v>368940.03874441335</v>
      </c>
    </row>
    <row r="230" spans="6:15" x14ac:dyDescent="0.2">
      <c r="F230">
        <v>229</v>
      </c>
      <c r="G230" s="2">
        <f t="shared" si="31"/>
        <v>52351</v>
      </c>
      <c r="H230" s="4">
        <f t="shared" si="32"/>
        <v>234163.38851057517</v>
      </c>
      <c r="I230" s="4">
        <f t="shared" si="33"/>
        <v>2684.1081150606951</v>
      </c>
      <c r="J230" s="4">
        <f t="shared" si="34"/>
        <v>100</v>
      </c>
      <c r="K230" s="4">
        <f t="shared" si="36"/>
        <v>2784.1081150606951</v>
      </c>
      <c r="L230" s="4">
        <f t="shared" si="37"/>
        <v>1808.4273295999651</v>
      </c>
      <c r="M230" s="4">
        <f t="shared" si="35"/>
        <v>975.68078546072991</v>
      </c>
      <c r="N230" s="4">
        <f t="shared" si="38"/>
        <v>232354.9611809752</v>
      </c>
      <c r="O230" s="4">
        <f t="shared" si="39"/>
        <v>369915.7195298741</v>
      </c>
    </row>
    <row r="231" spans="6:15" x14ac:dyDescent="0.2">
      <c r="F231">
        <v>230</v>
      </c>
      <c r="G231" s="2">
        <f t="shared" si="31"/>
        <v>52382</v>
      </c>
      <c r="H231" s="4">
        <f t="shared" si="32"/>
        <v>232354.9611809752</v>
      </c>
      <c r="I231" s="4">
        <f t="shared" si="33"/>
        <v>2684.1081150606951</v>
      </c>
      <c r="J231" s="4">
        <f t="shared" si="34"/>
        <v>100</v>
      </c>
      <c r="K231" s="4">
        <f t="shared" si="36"/>
        <v>2784.1081150606951</v>
      </c>
      <c r="L231" s="4">
        <f t="shared" si="37"/>
        <v>1815.9624434732982</v>
      </c>
      <c r="M231" s="4">
        <f t="shared" si="35"/>
        <v>968.14567158739681</v>
      </c>
      <c r="N231" s="4">
        <f t="shared" si="38"/>
        <v>230538.99873750188</v>
      </c>
      <c r="O231" s="4">
        <f t="shared" si="39"/>
        <v>370883.86520146148</v>
      </c>
    </row>
    <row r="232" spans="6:15" x14ac:dyDescent="0.2">
      <c r="F232">
        <v>231</v>
      </c>
      <c r="G232" s="2">
        <f t="shared" si="31"/>
        <v>52412</v>
      </c>
      <c r="H232" s="4">
        <f t="shared" si="32"/>
        <v>230538.99873750188</v>
      </c>
      <c r="I232" s="4">
        <f t="shared" si="33"/>
        <v>2684.1081150606951</v>
      </c>
      <c r="J232" s="4">
        <f t="shared" si="34"/>
        <v>100</v>
      </c>
      <c r="K232" s="4">
        <f t="shared" si="36"/>
        <v>2784.1081150606951</v>
      </c>
      <c r="L232" s="4">
        <f t="shared" si="37"/>
        <v>1823.5289536544374</v>
      </c>
      <c r="M232" s="4">
        <f t="shared" si="35"/>
        <v>960.57916140625787</v>
      </c>
      <c r="N232" s="4">
        <f t="shared" si="38"/>
        <v>228715.46978384745</v>
      </c>
      <c r="O232" s="4">
        <f t="shared" si="39"/>
        <v>371844.44436286774</v>
      </c>
    </row>
    <row r="233" spans="6:15" x14ac:dyDescent="0.2">
      <c r="F233">
        <v>232</v>
      </c>
      <c r="G233" s="2">
        <f t="shared" si="31"/>
        <v>52443</v>
      </c>
      <c r="H233" s="4">
        <f t="shared" si="32"/>
        <v>228715.46978384745</v>
      </c>
      <c r="I233" s="4">
        <f t="shared" si="33"/>
        <v>2684.1081150606951</v>
      </c>
      <c r="J233" s="4">
        <f t="shared" si="34"/>
        <v>100</v>
      </c>
      <c r="K233" s="4">
        <f t="shared" si="36"/>
        <v>2784.1081150606951</v>
      </c>
      <c r="L233" s="4">
        <f t="shared" si="37"/>
        <v>1831.1269909613306</v>
      </c>
      <c r="M233" s="4">
        <f t="shared" si="35"/>
        <v>952.98112409936448</v>
      </c>
      <c r="N233" s="4">
        <f t="shared" si="38"/>
        <v>226884.34279288613</v>
      </c>
      <c r="O233" s="4">
        <f t="shared" si="39"/>
        <v>372797.42548696708</v>
      </c>
    </row>
    <row r="234" spans="6:15" x14ac:dyDescent="0.2">
      <c r="F234">
        <v>233</v>
      </c>
      <c r="G234" s="2">
        <f t="shared" si="31"/>
        <v>52474</v>
      </c>
      <c r="H234" s="4">
        <f t="shared" si="32"/>
        <v>226884.34279288613</v>
      </c>
      <c r="I234" s="4">
        <f t="shared" si="33"/>
        <v>2684.1081150606951</v>
      </c>
      <c r="J234" s="4">
        <f t="shared" si="34"/>
        <v>100</v>
      </c>
      <c r="K234" s="4">
        <f t="shared" si="36"/>
        <v>2784.1081150606951</v>
      </c>
      <c r="L234" s="4">
        <f t="shared" si="37"/>
        <v>1838.7566867570026</v>
      </c>
      <c r="M234" s="4">
        <f t="shared" si="35"/>
        <v>945.35142830369239</v>
      </c>
      <c r="N234" s="4">
        <f t="shared" si="38"/>
        <v>225045.58610612914</v>
      </c>
      <c r="O234" s="4">
        <f t="shared" si="39"/>
        <v>373742.77691527078</v>
      </c>
    </row>
    <row r="235" spans="6:15" x14ac:dyDescent="0.2">
      <c r="F235">
        <v>234</v>
      </c>
      <c r="G235" s="2">
        <f t="shared" si="31"/>
        <v>52504</v>
      </c>
      <c r="H235" s="4">
        <f t="shared" si="32"/>
        <v>225045.58610612914</v>
      </c>
      <c r="I235" s="4">
        <f t="shared" si="33"/>
        <v>2684.1081150606951</v>
      </c>
      <c r="J235" s="4">
        <f t="shared" si="34"/>
        <v>100</v>
      </c>
      <c r="K235" s="4">
        <f t="shared" si="36"/>
        <v>2784.1081150606951</v>
      </c>
      <c r="L235" s="4">
        <f t="shared" si="37"/>
        <v>1846.4181729518236</v>
      </c>
      <c r="M235" s="4">
        <f t="shared" si="35"/>
        <v>937.68994210887149</v>
      </c>
      <c r="N235" s="4">
        <f t="shared" si="38"/>
        <v>223199.16793317732</v>
      </c>
      <c r="O235" s="4">
        <f t="shared" si="39"/>
        <v>374680.46685737965</v>
      </c>
    </row>
    <row r="236" spans="6:15" x14ac:dyDescent="0.2">
      <c r="F236">
        <v>235</v>
      </c>
      <c r="G236" s="2">
        <f t="shared" si="31"/>
        <v>52535</v>
      </c>
      <c r="H236" s="4">
        <f t="shared" si="32"/>
        <v>223199.16793317732</v>
      </c>
      <c r="I236" s="4">
        <f t="shared" si="33"/>
        <v>2684.1081150606951</v>
      </c>
      <c r="J236" s="4">
        <f t="shared" si="34"/>
        <v>100</v>
      </c>
      <c r="K236" s="4">
        <f t="shared" si="36"/>
        <v>2784.1081150606951</v>
      </c>
      <c r="L236" s="4">
        <f t="shared" si="37"/>
        <v>1854.1115820057894</v>
      </c>
      <c r="M236" s="4">
        <f t="shared" si="35"/>
        <v>929.99653305490563</v>
      </c>
      <c r="N236" s="4">
        <f t="shared" si="38"/>
        <v>221345.05635117152</v>
      </c>
      <c r="O236" s="4">
        <f t="shared" si="39"/>
        <v>375610.46339043457</v>
      </c>
    </row>
    <row r="237" spans="6:15" x14ac:dyDescent="0.2">
      <c r="F237">
        <v>236</v>
      </c>
      <c r="G237" s="2">
        <f t="shared" si="31"/>
        <v>52565</v>
      </c>
      <c r="H237" s="4">
        <f t="shared" si="32"/>
        <v>221345.05635117152</v>
      </c>
      <c r="I237" s="4">
        <f t="shared" si="33"/>
        <v>2684.1081150606951</v>
      </c>
      <c r="J237" s="4">
        <f t="shared" si="34"/>
        <v>100</v>
      </c>
      <c r="K237" s="4">
        <f t="shared" si="36"/>
        <v>2784.1081150606951</v>
      </c>
      <c r="L237" s="4">
        <f t="shared" si="37"/>
        <v>1861.8370469308138</v>
      </c>
      <c r="M237" s="4">
        <f t="shared" si="35"/>
        <v>922.27106812988131</v>
      </c>
      <c r="N237" s="4">
        <f t="shared" si="38"/>
        <v>219483.21930424072</v>
      </c>
      <c r="O237" s="4">
        <f t="shared" si="39"/>
        <v>376532.73445856443</v>
      </c>
    </row>
    <row r="238" spans="6:15" x14ac:dyDescent="0.2">
      <c r="F238">
        <v>237</v>
      </c>
      <c r="G238" s="2">
        <f t="shared" si="31"/>
        <v>52596</v>
      </c>
      <c r="H238" s="4">
        <f t="shared" si="32"/>
        <v>219483.21930424072</v>
      </c>
      <c r="I238" s="4">
        <f t="shared" si="33"/>
        <v>2684.1081150606951</v>
      </c>
      <c r="J238" s="4">
        <f t="shared" si="34"/>
        <v>100</v>
      </c>
      <c r="K238" s="4">
        <f t="shared" si="36"/>
        <v>2784.1081150606951</v>
      </c>
      <c r="L238" s="4">
        <f t="shared" si="37"/>
        <v>1869.5947012930255</v>
      </c>
      <c r="M238" s="4">
        <f t="shared" si="35"/>
        <v>914.5134137676697</v>
      </c>
      <c r="N238" s="4">
        <f t="shared" si="38"/>
        <v>217613.6246029477</v>
      </c>
      <c r="O238" s="4">
        <f t="shared" si="39"/>
        <v>377447.24787233211</v>
      </c>
    </row>
    <row r="239" spans="6:15" x14ac:dyDescent="0.2">
      <c r="F239">
        <v>238</v>
      </c>
      <c r="G239" s="2">
        <f t="shared" si="31"/>
        <v>52627</v>
      </c>
      <c r="H239" s="4">
        <f t="shared" si="32"/>
        <v>217613.6246029477</v>
      </c>
      <c r="I239" s="4">
        <f t="shared" si="33"/>
        <v>2684.1081150606951</v>
      </c>
      <c r="J239" s="4">
        <f t="shared" si="34"/>
        <v>100</v>
      </c>
      <c r="K239" s="4">
        <f t="shared" si="36"/>
        <v>2784.1081150606951</v>
      </c>
      <c r="L239" s="4">
        <f t="shared" si="37"/>
        <v>1877.3846792150798</v>
      </c>
      <c r="M239" s="4">
        <f t="shared" si="35"/>
        <v>906.72343584561543</v>
      </c>
      <c r="N239" s="4">
        <f t="shared" si="38"/>
        <v>215736.23992373262</v>
      </c>
      <c r="O239" s="4">
        <f t="shared" si="39"/>
        <v>378353.97130817774</v>
      </c>
    </row>
    <row r="240" spans="6:15" x14ac:dyDescent="0.2">
      <c r="F240">
        <v>239</v>
      </c>
      <c r="G240" s="2">
        <f t="shared" si="31"/>
        <v>52656</v>
      </c>
      <c r="H240" s="4">
        <f t="shared" si="32"/>
        <v>215736.23992373262</v>
      </c>
      <c r="I240" s="4">
        <f t="shared" si="33"/>
        <v>2684.1081150606951</v>
      </c>
      <c r="J240" s="4">
        <f t="shared" si="34"/>
        <v>100</v>
      </c>
      <c r="K240" s="4">
        <f t="shared" si="36"/>
        <v>2784.1081150606951</v>
      </c>
      <c r="L240" s="4">
        <f t="shared" si="37"/>
        <v>1885.2071153784759</v>
      </c>
      <c r="M240" s="4">
        <f t="shared" si="35"/>
        <v>898.90099968221932</v>
      </c>
      <c r="N240" s="4">
        <f t="shared" si="38"/>
        <v>213851.03280835415</v>
      </c>
      <c r="O240" s="4">
        <f t="shared" si="39"/>
        <v>379252.87230785994</v>
      </c>
    </row>
    <row r="241" spans="6:15" x14ac:dyDescent="0.2">
      <c r="F241">
        <v>240</v>
      </c>
      <c r="G241" s="2">
        <f t="shared" si="31"/>
        <v>52687</v>
      </c>
      <c r="H241" s="4">
        <f t="shared" si="32"/>
        <v>213851.03280835415</v>
      </c>
      <c r="I241" s="4">
        <f t="shared" si="33"/>
        <v>2684.1081150606951</v>
      </c>
      <c r="J241" s="4">
        <f t="shared" si="34"/>
        <v>100</v>
      </c>
      <c r="K241" s="4">
        <f t="shared" si="36"/>
        <v>2784.1081150606951</v>
      </c>
      <c r="L241" s="4">
        <f t="shared" si="37"/>
        <v>1893.0621450258859</v>
      </c>
      <c r="M241" s="4">
        <f t="shared" si="35"/>
        <v>891.0459700348091</v>
      </c>
      <c r="N241" s="4">
        <f t="shared" si="38"/>
        <v>211957.97066332828</v>
      </c>
      <c r="O241" s="4">
        <f t="shared" si="39"/>
        <v>380143.91827789473</v>
      </c>
    </row>
    <row r="242" spans="6:15" x14ac:dyDescent="0.2">
      <c r="F242">
        <v>241</v>
      </c>
      <c r="G242" s="2">
        <f t="shared" si="31"/>
        <v>52717</v>
      </c>
      <c r="H242" s="4">
        <f t="shared" si="32"/>
        <v>211957.97066332828</v>
      </c>
      <c r="I242" s="4">
        <f t="shared" si="33"/>
        <v>2684.1081150606951</v>
      </c>
      <c r="J242" s="4">
        <f t="shared" si="34"/>
        <v>100</v>
      </c>
      <c r="K242" s="4">
        <f t="shared" si="36"/>
        <v>2784.1081150606951</v>
      </c>
      <c r="L242" s="4">
        <f t="shared" si="37"/>
        <v>1900.9499039634939</v>
      </c>
      <c r="M242" s="4">
        <f t="shared" si="35"/>
        <v>883.15821109720127</v>
      </c>
      <c r="N242" s="4">
        <f t="shared" si="38"/>
        <v>210057.02075936479</v>
      </c>
      <c r="O242" s="4">
        <f t="shared" si="39"/>
        <v>381027.07648899191</v>
      </c>
    </row>
    <row r="243" spans="6:15" x14ac:dyDescent="0.2">
      <c r="F243">
        <v>242</v>
      </c>
      <c r="G243" s="2">
        <f t="shared" si="31"/>
        <v>52748</v>
      </c>
      <c r="H243" s="4">
        <f t="shared" si="32"/>
        <v>210057.02075936479</v>
      </c>
      <c r="I243" s="4">
        <f t="shared" si="33"/>
        <v>2684.1081150606951</v>
      </c>
      <c r="J243" s="4">
        <f t="shared" si="34"/>
        <v>100</v>
      </c>
      <c r="K243" s="4">
        <f t="shared" si="36"/>
        <v>2784.1081150606951</v>
      </c>
      <c r="L243" s="4">
        <f t="shared" si="37"/>
        <v>1908.8705285633418</v>
      </c>
      <c r="M243" s="4">
        <f t="shared" si="35"/>
        <v>875.23758649735339</v>
      </c>
      <c r="N243" s="4">
        <f t="shared" si="38"/>
        <v>208148.15023080146</v>
      </c>
      <c r="O243" s="4">
        <f t="shared" si="39"/>
        <v>381902.31407548924</v>
      </c>
    </row>
    <row r="244" spans="6:15" x14ac:dyDescent="0.2">
      <c r="F244">
        <v>243</v>
      </c>
      <c r="G244" s="2">
        <f t="shared" si="31"/>
        <v>52778</v>
      </c>
      <c r="H244" s="4">
        <f t="shared" si="32"/>
        <v>208148.15023080146</v>
      </c>
      <c r="I244" s="4">
        <f t="shared" si="33"/>
        <v>2684.1081150606951</v>
      </c>
      <c r="J244" s="4">
        <f t="shared" si="34"/>
        <v>100</v>
      </c>
      <c r="K244" s="4">
        <f t="shared" si="36"/>
        <v>2784.1081150606951</v>
      </c>
      <c r="L244" s="4">
        <f t="shared" si="37"/>
        <v>1916.8241557656888</v>
      </c>
      <c r="M244" s="4">
        <f t="shared" si="35"/>
        <v>867.28395929500618</v>
      </c>
      <c r="N244" s="4">
        <f t="shared" si="38"/>
        <v>206231.32607503576</v>
      </c>
      <c r="O244" s="4">
        <f t="shared" si="39"/>
        <v>382769.59803478426</v>
      </c>
    </row>
    <row r="245" spans="6:15" x14ac:dyDescent="0.2">
      <c r="F245">
        <v>244</v>
      </c>
      <c r="G245" s="2">
        <f t="shared" si="31"/>
        <v>52809</v>
      </c>
      <c r="H245" s="4">
        <f t="shared" si="32"/>
        <v>206231.32607503576</v>
      </c>
      <c r="I245" s="4">
        <f t="shared" si="33"/>
        <v>2684.1081150606951</v>
      </c>
      <c r="J245" s="4">
        <f t="shared" si="34"/>
        <v>100</v>
      </c>
      <c r="K245" s="4">
        <f t="shared" si="36"/>
        <v>2784.1081150606951</v>
      </c>
      <c r="L245" s="4">
        <f t="shared" si="37"/>
        <v>1924.8109230813793</v>
      </c>
      <c r="M245" s="4">
        <f t="shared" si="35"/>
        <v>859.2971919793157</v>
      </c>
      <c r="N245" s="4">
        <f t="shared" si="38"/>
        <v>204306.51515195437</v>
      </c>
      <c r="O245" s="4">
        <f t="shared" si="39"/>
        <v>383628.89522676356</v>
      </c>
    </row>
    <row r="246" spans="6:15" x14ac:dyDescent="0.2">
      <c r="F246">
        <v>245</v>
      </c>
      <c r="G246" s="2">
        <f t="shared" si="31"/>
        <v>52840</v>
      </c>
      <c r="H246" s="4">
        <f t="shared" si="32"/>
        <v>204306.51515195437</v>
      </c>
      <c r="I246" s="4">
        <f t="shared" si="33"/>
        <v>2684.1081150606951</v>
      </c>
      <c r="J246" s="4">
        <f t="shared" si="34"/>
        <v>100</v>
      </c>
      <c r="K246" s="4">
        <f t="shared" si="36"/>
        <v>2784.1081150606951</v>
      </c>
      <c r="L246" s="4">
        <f t="shared" si="37"/>
        <v>1932.8309685942186</v>
      </c>
      <c r="M246" s="4">
        <f t="shared" si="35"/>
        <v>851.27714646647655</v>
      </c>
      <c r="N246" s="4">
        <f t="shared" si="38"/>
        <v>202373.68418336016</v>
      </c>
      <c r="O246" s="4">
        <f t="shared" si="39"/>
        <v>384480.17237323005</v>
      </c>
    </row>
    <row r="247" spans="6:15" x14ac:dyDescent="0.2">
      <c r="F247">
        <v>246</v>
      </c>
      <c r="G247" s="2">
        <f t="shared" si="31"/>
        <v>52870</v>
      </c>
      <c r="H247" s="4">
        <f t="shared" si="32"/>
        <v>202373.68418336016</v>
      </c>
      <c r="I247" s="4">
        <f t="shared" si="33"/>
        <v>2684.1081150606951</v>
      </c>
      <c r="J247" s="4">
        <f t="shared" si="34"/>
        <v>100</v>
      </c>
      <c r="K247" s="4">
        <f t="shared" si="36"/>
        <v>2784.1081150606951</v>
      </c>
      <c r="L247" s="4">
        <f t="shared" si="37"/>
        <v>1940.884430963361</v>
      </c>
      <c r="M247" s="4">
        <f t="shared" si="35"/>
        <v>843.22368409733406</v>
      </c>
      <c r="N247" s="4">
        <f t="shared" si="38"/>
        <v>200432.79975239679</v>
      </c>
      <c r="O247" s="4">
        <f t="shared" si="39"/>
        <v>385323.39605732739</v>
      </c>
    </row>
    <row r="248" spans="6:15" x14ac:dyDescent="0.2">
      <c r="F248">
        <v>247</v>
      </c>
      <c r="G248" s="2">
        <f t="shared" si="31"/>
        <v>52901</v>
      </c>
      <c r="H248" s="4">
        <f t="shared" si="32"/>
        <v>200432.79975239679</v>
      </c>
      <c r="I248" s="4">
        <f t="shared" si="33"/>
        <v>2684.1081150606951</v>
      </c>
      <c r="J248" s="4">
        <f t="shared" si="34"/>
        <v>100</v>
      </c>
      <c r="K248" s="4">
        <f t="shared" si="36"/>
        <v>2784.1081150606951</v>
      </c>
      <c r="L248" s="4">
        <f t="shared" si="37"/>
        <v>1948.9714494257082</v>
      </c>
      <c r="M248" s="4">
        <f t="shared" si="35"/>
        <v>835.1366656349868</v>
      </c>
      <c r="N248" s="4">
        <f t="shared" si="38"/>
        <v>198483.82830297109</v>
      </c>
      <c r="O248" s="4">
        <f t="shared" si="39"/>
        <v>386158.53272296238</v>
      </c>
    </row>
    <row r="249" spans="6:15" x14ac:dyDescent="0.2">
      <c r="F249">
        <v>248</v>
      </c>
      <c r="G249" s="2">
        <f t="shared" si="31"/>
        <v>52931</v>
      </c>
      <c r="H249" s="4">
        <f t="shared" si="32"/>
        <v>198483.82830297109</v>
      </c>
      <c r="I249" s="4">
        <f t="shared" si="33"/>
        <v>2684.1081150606951</v>
      </c>
      <c r="J249" s="4">
        <f t="shared" si="34"/>
        <v>100</v>
      </c>
      <c r="K249" s="4">
        <f t="shared" si="36"/>
        <v>2784.1081150606951</v>
      </c>
      <c r="L249" s="4">
        <f t="shared" si="37"/>
        <v>1957.0921637983156</v>
      </c>
      <c r="M249" s="4">
        <f t="shared" si="35"/>
        <v>827.01595126237953</v>
      </c>
      <c r="N249" s="4">
        <f t="shared" si="38"/>
        <v>196526.73613917278</v>
      </c>
      <c r="O249" s="4">
        <f t="shared" si="39"/>
        <v>386985.54867422476</v>
      </c>
    </row>
    <row r="250" spans="6:15" x14ac:dyDescent="0.2">
      <c r="F250">
        <v>249</v>
      </c>
      <c r="G250" s="2">
        <f t="shared" si="31"/>
        <v>52962</v>
      </c>
      <c r="H250" s="4">
        <f t="shared" si="32"/>
        <v>196526.73613917278</v>
      </c>
      <c r="I250" s="4">
        <f t="shared" si="33"/>
        <v>2684.1081150606951</v>
      </c>
      <c r="J250" s="4">
        <f t="shared" si="34"/>
        <v>100</v>
      </c>
      <c r="K250" s="4">
        <f t="shared" si="36"/>
        <v>2784.1081150606951</v>
      </c>
      <c r="L250" s="4">
        <f t="shared" si="37"/>
        <v>1965.2467144808084</v>
      </c>
      <c r="M250" s="4">
        <f t="shared" si="35"/>
        <v>818.86140057988666</v>
      </c>
      <c r="N250" s="4">
        <f t="shared" si="38"/>
        <v>194561.48942469197</v>
      </c>
      <c r="O250" s="4">
        <f t="shared" si="39"/>
        <v>387804.41007480462</v>
      </c>
    </row>
    <row r="251" spans="6:15" x14ac:dyDescent="0.2">
      <c r="F251">
        <v>250</v>
      </c>
      <c r="G251" s="2">
        <f t="shared" si="31"/>
        <v>52993</v>
      </c>
      <c r="H251" s="4">
        <f t="shared" si="32"/>
        <v>194561.48942469197</v>
      </c>
      <c r="I251" s="4">
        <f t="shared" si="33"/>
        <v>2684.1081150606951</v>
      </c>
      <c r="J251" s="4">
        <f t="shared" si="34"/>
        <v>100</v>
      </c>
      <c r="K251" s="4">
        <f t="shared" si="36"/>
        <v>2784.1081150606951</v>
      </c>
      <c r="L251" s="4">
        <f t="shared" si="37"/>
        <v>1973.4352424578119</v>
      </c>
      <c r="M251" s="4">
        <f t="shared" si="35"/>
        <v>810.67287260288322</v>
      </c>
      <c r="N251" s="4">
        <f t="shared" si="38"/>
        <v>192588.05418223416</v>
      </c>
      <c r="O251" s="4">
        <f t="shared" si="39"/>
        <v>388615.0829474075</v>
      </c>
    </row>
    <row r="252" spans="6:15" x14ac:dyDescent="0.2">
      <c r="F252">
        <v>251</v>
      </c>
      <c r="G252" s="2">
        <f t="shared" si="31"/>
        <v>53021</v>
      </c>
      <c r="H252" s="4">
        <f t="shared" si="32"/>
        <v>192588.05418223416</v>
      </c>
      <c r="I252" s="4">
        <f t="shared" si="33"/>
        <v>2684.1081150606951</v>
      </c>
      <c r="J252" s="4">
        <f t="shared" si="34"/>
        <v>100</v>
      </c>
      <c r="K252" s="4">
        <f t="shared" si="36"/>
        <v>2784.1081150606951</v>
      </c>
      <c r="L252" s="4">
        <f t="shared" si="37"/>
        <v>1981.6578893013861</v>
      </c>
      <c r="M252" s="4">
        <f t="shared" si="35"/>
        <v>802.45022575930898</v>
      </c>
      <c r="N252" s="4">
        <f t="shared" si="38"/>
        <v>190606.39629293277</v>
      </c>
      <c r="O252" s="4">
        <f t="shared" si="39"/>
        <v>389417.5331731668</v>
      </c>
    </row>
    <row r="253" spans="6:15" x14ac:dyDescent="0.2">
      <c r="F253">
        <v>252</v>
      </c>
      <c r="G253" s="2">
        <f t="shared" si="31"/>
        <v>53052</v>
      </c>
      <c r="H253" s="4">
        <f t="shared" si="32"/>
        <v>190606.39629293277</v>
      </c>
      <c r="I253" s="4">
        <f t="shared" si="33"/>
        <v>2684.1081150606951</v>
      </c>
      <c r="J253" s="4">
        <f t="shared" si="34"/>
        <v>100</v>
      </c>
      <c r="K253" s="4">
        <f t="shared" si="36"/>
        <v>2784.1081150606951</v>
      </c>
      <c r="L253" s="4">
        <f t="shared" si="37"/>
        <v>1989.9147971734751</v>
      </c>
      <c r="M253" s="4">
        <f t="shared" si="35"/>
        <v>794.19331788721991</v>
      </c>
      <c r="N253" s="4">
        <f t="shared" si="38"/>
        <v>188616.4814957593</v>
      </c>
      <c r="O253" s="4">
        <f t="shared" si="39"/>
        <v>390211.726491054</v>
      </c>
    </row>
    <row r="254" spans="6:15" x14ac:dyDescent="0.2">
      <c r="F254">
        <v>253</v>
      </c>
      <c r="G254" s="2">
        <f t="shared" si="31"/>
        <v>53082</v>
      </c>
      <c r="H254" s="4">
        <f t="shared" si="32"/>
        <v>188616.4814957593</v>
      </c>
      <c r="I254" s="4">
        <f t="shared" si="33"/>
        <v>2684.1081150606951</v>
      </c>
      <c r="J254" s="4">
        <f t="shared" si="34"/>
        <v>100</v>
      </c>
      <c r="K254" s="4">
        <f t="shared" si="36"/>
        <v>2784.1081150606951</v>
      </c>
      <c r="L254" s="4">
        <f t="shared" si="37"/>
        <v>1998.2061088283644</v>
      </c>
      <c r="M254" s="4">
        <f t="shared" si="35"/>
        <v>785.90200623233056</v>
      </c>
      <c r="N254" s="4">
        <f t="shared" si="38"/>
        <v>186618.27538693094</v>
      </c>
      <c r="O254" s="4">
        <f t="shared" si="39"/>
        <v>390997.62849728635</v>
      </c>
    </row>
    <row r="255" spans="6:15" x14ac:dyDescent="0.2">
      <c r="F255">
        <v>254</v>
      </c>
      <c r="G255" s="2">
        <f t="shared" si="31"/>
        <v>53113</v>
      </c>
      <c r="H255" s="4">
        <f t="shared" si="32"/>
        <v>186618.27538693094</v>
      </c>
      <c r="I255" s="4">
        <f t="shared" si="33"/>
        <v>2684.1081150606951</v>
      </c>
      <c r="J255" s="4">
        <f t="shared" si="34"/>
        <v>100</v>
      </c>
      <c r="K255" s="4">
        <f t="shared" si="36"/>
        <v>2784.1081150606951</v>
      </c>
      <c r="L255" s="4">
        <f t="shared" si="37"/>
        <v>2006.5319676151494</v>
      </c>
      <c r="M255" s="4">
        <f t="shared" si="35"/>
        <v>777.57614744554564</v>
      </c>
      <c r="N255" s="4">
        <f t="shared" si="38"/>
        <v>184611.74341931578</v>
      </c>
      <c r="O255" s="4">
        <f t="shared" si="39"/>
        <v>391775.20464473189</v>
      </c>
    </row>
    <row r="256" spans="6:15" x14ac:dyDescent="0.2">
      <c r="F256">
        <v>255</v>
      </c>
      <c r="G256" s="2">
        <f t="shared" si="31"/>
        <v>53143</v>
      </c>
      <c r="H256" s="4">
        <f t="shared" si="32"/>
        <v>184611.74341931578</v>
      </c>
      <c r="I256" s="4">
        <f t="shared" si="33"/>
        <v>2684.1081150606951</v>
      </c>
      <c r="J256" s="4">
        <f t="shared" si="34"/>
        <v>100</v>
      </c>
      <c r="K256" s="4">
        <f t="shared" si="36"/>
        <v>2784.1081150606951</v>
      </c>
      <c r="L256" s="4">
        <f t="shared" si="37"/>
        <v>2014.8925174802125</v>
      </c>
      <c r="M256" s="4">
        <f t="shared" si="35"/>
        <v>769.21559758048249</v>
      </c>
      <c r="N256" s="4">
        <f t="shared" si="38"/>
        <v>182596.85090183557</v>
      </c>
      <c r="O256" s="4">
        <f t="shared" si="39"/>
        <v>392544.42024231236</v>
      </c>
    </row>
    <row r="257" spans="6:15" x14ac:dyDescent="0.2">
      <c r="F257">
        <v>256</v>
      </c>
      <c r="G257" s="2">
        <f t="shared" si="31"/>
        <v>53174</v>
      </c>
      <c r="H257" s="4">
        <f t="shared" si="32"/>
        <v>182596.85090183557</v>
      </c>
      <c r="I257" s="4">
        <f t="shared" si="33"/>
        <v>2684.1081150606951</v>
      </c>
      <c r="J257" s="4">
        <f t="shared" si="34"/>
        <v>100</v>
      </c>
      <c r="K257" s="4">
        <f t="shared" si="36"/>
        <v>2784.1081150606951</v>
      </c>
      <c r="L257" s="4">
        <f t="shared" si="37"/>
        <v>2023.2879029697137</v>
      </c>
      <c r="M257" s="4">
        <f t="shared" si="35"/>
        <v>760.8202120909815</v>
      </c>
      <c r="N257" s="4">
        <f t="shared" si="38"/>
        <v>180573.56299886585</v>
      </c>
      <c r="O257" s="4">
        <f t="shared" si="39"/>
        <v>393305.24045440333</v>
      </c>
    </row>
    <row r="258" spans="6:15" x14ac:dyDescent="0.2">
      <c r="F258">
        <v>257</v>
      </c>
      <c r="G258" s="2">
        <f t="shared" ref="G258:G321" si="40">IF(F258 &lt;&gt; "", EOMONTH(D$7, ROW() - 1 - 1), "")</f>
        <v>53205</v>
      </c>
      <c r="H258" s="4">
        <f t="shared" ref="H258:H321" si="41">IF(F258&lt;&gt;"", IF(F258 = 1, D$3, N257),  "")</f>
        <v>180573.56299886585</v>
      </c>
      <c r="I258" s="4">
        <f t="shared" ref="I258:I321" si="42">IF(F258&lt;&gt;"", D$12, "")</f>
        <v>2684.1081150606951</v>
      </c>
      <c r="J258" s="4">
        <f t="shared" ref="J258:J321" si="43">IF(F258 &lt;&gt; "", D$8, "")</f>
        <v>100</v>
      </c>
      <c r="K258" s="4">
        <f t="shared" si="36"/>
        <v>2784.1081150606951</v>
      </c>
      <c r="L258" s="4">
        <f t="shared" si="37"/>
        <v>2031.7182692320876</v>
      </c>
      <c r="M258" s="4">
        <f t="shared" ref="M258:M321" si="44">IF(F258 &lt;&gt; "", H258 * D$4/D$6, "")</f>
        <v>752.38984582860769</v>
      </c>
      <c r="N258" s="4">
        <f t="shared" si="38"/>
        <v>178541.84472963377</v>
      </c>
      <c r="O258" s="4">
        <f t="shared" si="39"/>
        <v>394057.63030023192</v>
      </c>
    </row>
    <row r="259" spans="6:15" x14ac:dyDescent="0.2">
      <c r="F259">
        <v>258</v>
      </c>
      <c r="G259" s="2">
        <f t="shared" si="40"/>
        <v>53235</v>
      </c>
      <c r="H259" s="4">
        <f t="shared" si="41"/>
        <v>178541.84472963377</v>
      </c>
      <c r="I259" s="4">
        <f t="shared" si="42"/>
        <v>2684.1081150606951</v>
      </c>
      <c r="J259" s="4">
        <f t="shared" si="43"/>
        <v>100</v>
      </c>
      <c r="K259" s="4">
        <f t="shared" si="36"/>
        <v>2784.1081150606951</v>
      </c>
      <c r="L259" s="4">
        <f t="shared" si="37"/>
        <v>2040.1837620205542</v>
      </c>
      <c r="M259" s="4">
        <f t="shared" si="44"/>
        <v>743.92435304014077</v>
      </c>
      <c r="N259" s="4">
        <f t="shared" si="38"/>
        <v>176501.66096761322</v>
      </c>
      <c r="O259" s="4">
        <f t="shared" si="39"/>
        <v>394801.55465327203</v>
      </c>
    </row>
    <row r="260" spans="6:15" x14ac:dyDescent="0.2">
      <c r="F260">
        <v>259</v>
      </c>
      <c r="G260" s="2">
        <f t="shared" si="40"/>
        <v>53266</v>
      </c>
      <c r="H260" s="4">
        <f t="shared" si="41"/>
        <v>176501.66096761322</v>
      </c>
      <c r="I260" s="4">
        <f t="shared" si="42"/>
        <v>2684.1081150606951</v>
      </c>
      <c r="J260" s="4">
        <f t="shared" si="43"/>
        <v>100</v>
      </c>
      <c r="K260" s="4">
        <f t="shared" si="36"/>
        <v>2784.1081150606951</v>
      </c>
      <c r="L260" s="4">
        <f t="shared" si="37"/>
        <v>2048.6845276956401</v>
      </c>
      <c r="M260" s="4">
        <f t="shared" si="44"/>
        <v>735.42358736505514</v>
      </c>
      <c r="N260" s="4">
        <f t="shared" si="38"/>
        <v>174452.97643991758</v>
      </c>
      <c r="O260" s="4">
        <f t="shared" si="39"/>
        <v>395536.97824063711</v>
      </c>
    </row>
    <row r="261" spans="6:15" x14ac:dyDescent="0.2">
      <c r="F261">
        <v>260</v>
      </c>
      <c r="G261" s="2">
        <f t="shared" si="40"/>
        <v>53296</v>
      </c>
      <c r="H261" s="4">
        <f t="shared" si="41"/>
        <v>174452.97643991758</v>
      </c>
      <c r="I261" s="4">
        <f t="shared" si="42"/>
        <v>2684.1081150606951</v>
      </c>
      <c r="J261" s="4">
        <f t="shared" si="43"/>
        <v>100</v>
      </c>
      <c r="K261" s="4">
        <f t="shared" ref="K261:K324" si="45">IF(F261 &lt;&gt; "", I261+J261, "")</f>
        <v>2784.1081150606951</v>
      </c>
      <c r="L261" s="4">
        <f t="shared" ref="L261:L324" si="46">IF(F261&lt;&gt;"",K261-M261,"")</f>
        <v>2057.2207132277053</v>
      </c>
      <c r="M261" s="4">
        <f t="shared" si="44"/>
        <v>726.88740183298989</v>
      </c>
      <c r="N261" s="4">
        <f t="shared" ref="N261:N324" si="47">IF(F261 &lt;&gt; "", IF(H261-L261 &lt; 0, 0, H261-L261), "")</f>
        <v>172395.75572668988</v>
      </c>
      <c r="O261" s="4">
        <f t="shared" ref="O261:O324" si="48">IF(F261&lt;&gt;"", IF(F261 = 1, 0, O260) + M261, "")</f>
        <v>396263.86564247007</v>
      </c>
    </row>
    <row r="262" spans="6:15" x14ac:dyDescent="0.2">
      <c r="F262">
        <v>261</v>
      </c>
      <c r="G262" s="2">
        <f t="shared" si="40"/>
        <v>53327</v>
      </c>
      <c r="H262" s="4">
        <f t="shared" si="41"/>
        <v>172395.75572668988</v>
      </c>
      <c r="I262" s="4">
        <f t="shared" si="42"/>
        <v>2684.1081150606951</v>
      </c>
      <c r="J262" s="4">
        <f t="shared" si="43"/>
        <v>100</v>
      </c>
      <c r="K262" s="4">
        <f t="shared" si="45"/>
        <v>2784.1081150606951</v>
      </c>
      <c r="L262" s="4">
        <f t="shared" si="46"/>
        <v>2065.7924661994871</v>
      </c>
      <c r="M262" s="4">
        <f t="shared" si="44"/>
        <v>718.31564886120793</v>
      </c>
      <c r="N262" s="4">
        <f t="shared" si="47"/>
        <v>170329.96326049039</v>
      </c>
      <c r="O262" s="4">
        <f t="shared" si="48"/>
        <v>396982.1812913313</v>
      </c>
    </row>
    <row r="263" spans="6:15" x14ac:dyDescent="0.2">
      <c r="F263">
        <v>262</v>
      </c>
      <c r="G263" s="2">
        <f t="shared" si="40"/>
        <v>53358</v>
      </c>
      <c r="H263" s="4">
        <f t="shared" si="41"/>
        <v>170329.96326049039</v>
      </c>
      <c r="I263" s="4">
        <f t="shared" si="42"/>
        <v>2684.1081150606951</v>
      </c>
      <c r="J263" s="4">
        <f t="shared" si="43"/>
        <v>100</v>
      </c>
      <c r="K263" s="4">
        <f t="shared" si="45"/>
        <v>2784.1081150606951</v>
      </c>
      <c r="L263" s="4">
        <f t="shared" si="46"/>
        <v>2074.3999348086518</v>
      </c>
      <c r="M263" s="4">
        <f t="shared" si="44"/>
        <v>709.70818025204335</v>
      </c>
      <c r="N263" s="4">
        <f t="shared" si="47"/>
        <v>168255.56332568172</v>
      </c>
      <c r="O263" s="4">
        <f t="shared" si="48"/>
        <v>397691.88947158336</v>
      </c>
    </row>
    <row r="264" spans="6:15" x14ac:dyDescent="0.2">
      <c r="F264">
        <v>263</v>
      </c>
      <c r="G264" s="2">
        <f t="shared" si="40"/>
        <v>53386</v>
      </c>
      <c r="H264" s="4">
        <f t="shared" si="41"/>
        <v>168255.56332568172</v>
      </c>
      <c r="I264" s="4">
        <f t="shared" si="42"/>
        <v>2684.1081150606951</v>
      </c>
      <c r="J264" s="4">
        <f t="shared" si="43"/>
        <v>100</v>
      </c>
      <c r="K264" s="4">
        <f t="shared" si="45"/>
        <v>2784.1081150606951</v>
      </c>
      <c r="L264" s="4">
        <f t="shared" si="46"/>
        <v>2083.0432678703546</v>
      </c>
      <c r="M264" s="4">
        <f t="shared" si="44"/>
        <v>701.06484719034052</v>
      </c>
      <c r="N264" s="4">
        <f t="shared" si="47"/>
        <v>166172.52005781137</v>
      </c>
      <c r="O264" s="4">
        <f t="shared" si="48"/>
        <v>398392.9543187737</v>
      </c>
    </row>
    <row r="265" spans="6:15" x14ac:dyDescent="0.2">
      <c r="F265">
        <v>264</v>
      </c>
      <c r="G265" s="2">
        <f t="shared" si="40"/>
        <v>53417</v>
      </c>
      <c r="H265" s="4">
        <f t="shared" si="41"/>
        <v>166172.52005781137</v>
      </c>
      <c r="I265" s="4">
        <f t="shared" si="42"/>
        <v>2684.1081150606951</v>
      </c>
      <c r="J265" s="4">
        <f t="shared" si="43"/>
        <v>100</v>
      </c>
      <c r="K265" s="4">
        <f t="shared" si="45"/>
        <v>2784.1081150606951</v>
      </c>
      <c r="L265" s="4">
        <f t="shared" si="46"/>
        <v>2091.7226148198142</v>
      </c>
      <c r="M265" s="4">
        <f t="shared" si="44"/>
        <v>692.38550024088079</v>
      </c>
      <c r="N265" s="4">
        <f t="shared" si="47"/>
        <v>164080.79744299155</v>
      </c>
      <c r="O265" s="4">
        <f t="shared" si="48"/>
        <v>399085.3398190146</v>
      </c>
    </row>
    <row r="266" spans="6:15" x14ac:dyDescent="0.2">
      <c r="F266">
        <v>265</v>
      </c>
      <c r="G266" s="2">
        <f t="shared" si="40"/>
        <v>53447</v>
      </c>
      <c r="H266" s="4">
        <f t="shared" si="41"/>
        <v>164080.79744299155</v>
      </c>
      <c r="I266" s="4">
        <f t="shared" si="42"/>
        <v>2684.1081150606951</v>
      </c>
      <c r="J266" s="4">
        <f t="shared" si="43"/>
        <v>100</v>
      </c>
      <c r="K266" s="4">
        <f t="shared" si="45"/>
        <v>2784.1081150606951</v>
      </c>
      <c r="L266" s="4">
        <f t="shared" si="46"/>
        <v>2100.4381257148971</v>
      </c>
      <c r="M266" s="4">
        <f t="shared" si="44"/>
        <v>683.66998934579817</v>
      </c>
      <c r="N266" s="4">
        <f t="shared" si="47"/>
        <v>161980.35931727666</v>
      </c>
      <c r="O266" s="4">
        <f t="shared" si="48"/>
        <v>399769.00980836037</v>
      </c>
    </row>
    <row r="267" spans="6:15" x14ac:dyDescent="0.2">
      <c r="F267">
        <v>266</v>
      </c>
      <c r="G267" s="2">
        <f t="shared" si="40"/>
        <v>53478</v>
      </c>
      <c r="H267" s="4">
        <f t="shared" si="41"/>
        <v>161980.35931727666</v>
      </c>
      <c r="I267" s="4">
        <f t="shared" si="42"/>
        <v>2684.1081150606951</v>
      </c>
      <c r="J267" s="4">
        <f t="shared" si="43"/>
        <v>100</v>
      </c>
      <c r="K267" s="4">
        <f t="shared" si="45"/>
        <v>2784.1081150606951</v>
      </c>
      <c r="L267" s="4">
        <f t="shared" si="46"/>
        <v>2109.189951238709</v>
      </c>
      <c r="M267" s="4">
        <f t="shared" si="44"/>
        <v>674.91816382198613</v>
      </c>
      <c r="N267" s="4">
        <f t="shared" si="47"/>
        <v>159871.16936603794</v>
      </c>
      <c r="O267" s="4">
        <f t="shared" si="48"/>
        <v>400443.92797218234</v>
      </c>
    </row>
    <row r="268" spans="6:15" x14ac:dyDescent="0.2">
      <c r="F268">
        <v>267</v>
      </c>
      <c r="G268" s="2">
        <f t="shared" si="40"/>
        <v>53508</v>
      </c>
      <c r="H268" s="4">
        <f t="shared" si="41"/>
        <v>159871.16936603794</v>
      </c>
      <c r="I268" s="4">
        <f t="shared" si="42"/>
        <v>2684.1081150606951</v>
      </c>
      <c r="J268" s="4">
        <f t="shared" si="43"/>
        <v>100</v>
      </c>
      <c r="K268" s="4">
        <f t="shared" si="45"/>
        <v>2784.1081150606951</v>
      </c>
      <c r="L268" s="4">
        <f t="shared" si="46"/>
        <v>2117.9782427022037</v>
      </c>
      <c r="M268" s="4">
        <f t="shared" si="44"/>
        <v>666.12987235849141</v>
      </c>
      <c r="N268" s="4">
        <f t="shared" si="47"/>
        <v>157753.19112333574</v>
      </c>
      <c r="O268" s="4">
        <f t="shared" si="48"/>
        <v>401110.0578445408</v>
      </c>
    </row>
    <row r="269" spans="6:15" x14ac:dyDescent="0.2">
      <c r="F269">
        <v>268</v>
      </c>
      <c r="G269" s="2">
        <f t="shared" si="40"/>
        <v>53539</v>
      </c>
      <c r="H269" s="4">
        <f t="shared" si="41"/>
        <v>157753.19112333574</v>
      </c>
      <c r="I269" s="4">
        <f t="shared" si="42"/>
        <v>2684.1081150606951</v>
      </c>
      <c r="J269" s="4">
        <f t="shared" si="43"/>
        <v>100</v>
      </c>
      <c r="K269" s="4">
        <f t="shared" si="45"/>
        <v>2784.1081150606951</v>
      </c>
      <c r="L269" s="4">
        <f t="shared" si="46"/>
        <v>2126.8031520467962</v>
      </c>
      <c r="M269" s="4">
        <f t="shared" si="44"/>
        <v>657.30496301389894</v>
      </c>
      <c r="N269" s="4">
        <f t="shared" si="47"/>
        <v>155626.38797128893</v>
      </c>
      <c r="O269" s="4">
        <f t="shared" si="48"/>
        <v>401767.36280755472</v>
      </c>
    </row>
    <row r="270" spans="6:15" x14ac:dyDescent="0.2">
      <c r="F270">
        <v>269</v>
      </c>
      <c r="G270" s="2">
        <f t="shared" si="40"/>
        <v>53570</v>
      </c>
      <c r="H270" s="4">
        <f t="shared" si="41"/>
        <v>155626.38797128893</v>
      </c>
      <c r="I270" s="4">
        <f t="shared" si="42"/>
        <v>2684.1081150606951</v>
      </c>
      <c r="J270" s="4">
        <f t="shared" si="43"/>
        <v>100</v>
      </c>
      <c r="K270" s="4">
        <f t="shared" si="45"/>
        <v>2784.1081150606951</v>
      </c>
      <c r="L270" s="4">
        <f t="shared" si="46"/>
        <v>2135.6648318469911</v>
      </c>
      <c r="M270" s="4">
        <f t="shared" si="44"/>
        <v>648.44328321370392</v>
      </c>
      <c r="N270" s="4">
        <f t="shared" si="47"/>
        <v>153490.72313944195</v>
      </c>
      <c r="O270" s="4">
        <f t="shared" si="48"/>
        <v>402415.80609076843</v>
      </c>
    </row>
    <row r="271" spans="6:15" x14ac:dyDescent="0.2">
      <c r="F271">
        <v>270</v>
      </c>
      <c r="G271" s="2">
        <f t="shared" si="40"/>
        <v>53600</v>
      </c>
      <c r="H271" s="4">
        <f t="shared" si="41"/>
        <v>153490.72313944195</v>
      </c>
      <c r="I271" s="4">
        <f t="shared" si="42"/>
        <v>2684.1081150606951</v>
      </c>
      <c r="J271" s="4">
        <f t="shared" si="43"/>
        <v>100</v>
      </c>
      <c r="K271" s="4">
        <f t="shared" si="45"/>
        <v>2784.1081150606951</v>
      </c>
      <c r="L271" s="4">
        <f t="shared" si="46"/>
        <v>2144.5634353130204</v>
      </c>
      <c r="M271" s="4">
        <f t="shared" si="44"/>
        <v>639.54467974767488</v>
      </c>
      <c r="N271" s="4">
        <f t="shared" si="47"/>
        <v>151346.15970412892</v>
      </c>
      <c r="O271" s="4">
        <f t="shared" si="48"/>
        <v>403055.35077051609</v>
      </c>
    </row>
    <row r="272" spans="6:15" x14ac:dyDescent="0.2">
      <c r="F272">
        <v>271</v>
      </c>
      <c r="G272" s="2">
        <f t="shared" si="40"/>
        <v>53631</v>
      </c>
      <c r="H272" s="4">
        <f t="shared" si="41"/>
        <v>151346.15970412892</v>
      </c>
      <c r="I272" s="4">
        <f t="shared" si="42"/>
        <v>2684.1081150606951</v>
      </c>
      <c r="J272" s="4">
        <f t="shared" si="43"/>
        <v>100</v>
      </c>
      <c r="K272" s="4">
        <f t="shared" si="45"/>
        <v>2784.1081150606951</v>
      </c>
      <c r="L272" s="4">
        <f t="shared" si="46"/>
        <v>2153.4991162934912</v>
      </c>
      <c r="M272" s="4">
        <f t="shared" si="44"/>
        <v>630.60899876720384</v>
      </c>
      <c r="N272" s="4">
        <f t="shared" si="47"/>
        <v>149192.66058783542</v>
      </c>
      <c r="O272" s="4">
        <f t="shared" si="48"/>
        <v>403685.9597692833</v>
      </c>
    </row>
    <row r="273" spans="6:15" x14ac:dyDescent="0.2">
      <c r="F273">
        <v>272</v>
      </c>
      <c r="G273" s="2">
        <f t="shared" si="40"/>
        <v>53661</v>
      </c>
      <c r="H273" s="4">
        <f t="shared" si="41"/>
        <v>149192.66058783542</v>
      </c>
      <c r="I273" s="4">
        <f t="shared" si="42"/>
        <v>2684.1081150606951</v>
      </c>
      <c r="J273" s="4">
        <f t="shared" si="43"/>
        <v>100</v>
      </c>
      <c r="K273" s="4">
        <f t="shared" si="45"/>
        <v>2784.1081150606951</v>
      </c>
      <c r="L273" s="4">
        <f t="shared" si="46"/>
        <v>2162.4720292780476</v>
      </c>
      <c r="M273" s="4">
        <f t="shared" si="44"/>
        <v>621.63608578264757</v>
      </c>
      <c r="N273" s="4">
        <f t="shared" si="47"/>
        <v>147030.18855855736</v>
      </c>
      <c r="O273" s="4">
        <f t="shared" si="48"/>
        <v>404307.59585506597</v>
      </c>
    </row>
    <row r="274" spans="6:15" x14ac:dyDescent="0.2">
      <c r="F274">
        <v>273</v>
      </c>
      <c r="G274" s="2">
        <f t="shared" si="40"/>
        <v>53692</v>
      </c>
      <c r="H274" s="4">
        <f t="shared" si="41"/>
        <v>147030.18855855736</v>
      </c>
      <c r="I274" s="4">
        <f t="shared" si="42"/>
        <v>2684.1081150606951</v>
      </c>
      <c r="J274" s="4">
        <f t="shared" si="43"/>
        <v>100</v>
      </c>
      <c r="K274" s="4">
        <f t="shared" si="45"/>
        <v>2784.1081150606951</v>
      </c>
      <c r="L274" s="4">
        <f t="shared" si="46"/>
        <v>2171.4823294000394</v>
      </c>
      <c r="M274" s="4">
        <f t="shared" si="44"/>
        <v>612.62578566065565</v>
      </c>
      <c r="N274" s="4">
        <f t="shared" si="47"/>
        <v>144858.70622915731</v>
      </c>
      <c r="O274" s="4">
        <f t="shared" si="48"/>
        <v>404920.22164072661</v>
      </c>
    </row>
    <row r="275" spans="6:15" x14ac:dyDescent="0.2">
      <c r="F275">
        <v>274</v>
      </c>
      <c r="G275" s="2">
        <f t="shared" si="40"/>
        <v>53723</v>
      </c>
      <c r="H275" s="4">
        <f t="shared" si="41"/>
        <v>144858.70622915731</v>
      </c>
      <c r="I275" s="4">
        <f t="shared" si="42"/>
        <v>2684.1081150606951</v>
      </c>
      <c r="J275" s="4">
        <f t="shared" si="43"/>
        <v>100</v>
      </c>
      <c r="K275" s="4">
        <f t="shared" si="45"/>
        <v>2784.1081150606951</v>
      </c>
      <c r="L275" s="4">
        <f t="shared" si="46"/>
        <v>2180.5301724392061</v>
      </c>
      <c r="M275" s="4">
        <f t="shared" si="44"/>
        <v>603.57794262148889</v>
      </c>
      <c r="N275" s="4">
        <f t="shared" si="47"/>
        <v>142678.1760567181</v>
      </c>
      <c r="O275" s="4">
        <f t="shared" si="48"/>
        <v>405523.7995833481</v>
      </c>
    </row>
    <row r="276" spans="6:15" x14ac:dyDescent="0.2">
      <c r="F276">
        <v>275</v>
      </c>
      <c r="G276" s="2">
        <f t="shared" si="40"/>
        <v>53751</v>
      </c>
      <c r="H276" s="4">
        <f t="shared" si="41"/>
        <v>142678.1760567181</v>
      </c>
      <c r="I276" s="4">
        <f t="shared" si="42"/>
        <v>2684.1081150606951</v>
      </c>
      <c r="J276" s="4">
        <f t="shared" si="43"/>
        <v>100</v>
      </c>
      <c r="K276" s="4">
        <f t="shared" si="45"/>
        <v>2784.1081150606951</v>
      </c>
      <c r="L276" s="4">
        <f t="shared" si="46"/>
        <v>2189.6157148243697</v>
      </c>
      <c r="M276" s="4">
        <f t="shared" si="44"/>
        <v>594.49240023632547</v>
      </c>
      <c r="N276" s="4">
        <f t="shared" si="47"/>
        <v>140488.56034189372</v>
      </c>
      <c r="O276" s="4">
        <f t="shared" si="48"/>
        <v>406118.29198358441</v>
      </c>
    </row>
    <row r="277" spans="6:15" x14ac:dyDescent="0.2">
      <c r="F277">
        <v>276</v>
      </c>
      <c r="G277" s="2">
        <f t="shared" si="40"/>
        <v>53782</v>
      </c>
      <c r="H277" s="4">
        <f t="shared" si="41"/>
        <v>140488.56034189372</v>
      </c>
      <c r="I277" s="4">
        <f t="shared" si="42"/>
        <v>2684.1081150606951</v>
      </c>
      <c r="J277" s="4">
        <f t="shared" si="43"/>
        <v>100</v>
      </c>
      <c r="K277" s="4">
        <f t="shared" si="45"/>
        <v>2784.1081150606951</v>
      </c>
      <c r="L277" s="4">
        <f t="shared" si="46"/>
        <v>2198.739113636138</v>
      </c>
      <c r="M277" s="4">
        <f t="shared" si="44"/>
        <v>585.36900142455727</v>
      </c>
      <c r="N277" s="4">
        <f t="shared" si="47"/>
        <v>138289.82122825758</v>
      </c>
      <c r="O277" s="4">
        <f t="shared" si="48"/>
        <v>406703.66098500899</v>
      </c>
    </row>
    <row r="278" spans="6:15" x14ac:dyDescent="0.2">
      <c r="F278">
        <v>277</v>
      </c>
      <c r="G278" s="2">
        <f t="shared" si="40"/>
        <v>53812</v>
      </c>
      <c r="H278" s="4">
        <f t="shared" si="41"/>
        <v>138289.82122825758</v>
      </c>
      <c r="I278" s="4">
        <f t="shared" si="42"/>
        <v>2684.1081150606951</v>
      </c>
      <c r="J278" s="4">
        <f t="shared" si="43"/>
        <v>100</v>
      </c>
      <c r="K278" s="4">
        <f t="shared" si="45"/>
        <v>2784.1081150606951</v>
      </c>
      <c r="L278" s="4">
        <f t="shared" si="46"/>
        <v>2207.9005266096219</v>
      </c>
      <c r="M278" s="4">
        <f t="shared" si="44"/>
        <v>576.20758845107332</v>
      </c>
      <c r="N278" s="4">
        <f t="shared" si="47"/>
        <v>136081.92070164796</v>
      </c>
      <c r="O278" s="4">
        <f t="shared" si="48"/>
        <v>407279.86857346009</v>
      </c>
    </row>
    <row r="279" spans="6:15" x14ac:dyDescent="0.2">
      <c r="F279">
        <v>278</v>
      </c>
      <c r="G279" s="2">
        <f t="shared" si="40"/>
        <v>53843</v>
      </c>
      <c r="H279" s="4">
        <f t="shared" si="41"/>
        <v>136081.92070164796</v>
      </c>
      <c r="I279" s="4">
        <f t="shared" si="42"/>
        <v>2684.1081150606951</v>
      </c>
      <c r="J279" s="4">
        <f t="shared" si="43"/>
        <v>100</v>
      </c>
      <c r="K279" s="4">
        <f t="shared" si="45"/>
        <v>2784.1081150606951</v>
      </c>
      <c r="L279" s="4">
        <f t="shared" si="46"/>
        <v>2217.1001121371619</v>
      </c>
      <c r="M279" s="4">
        <f t="shared" si="44"/>
        <v>567.00800292353324</v>
      </c>
      <c r="N279" s="4">
        <f t="shared" si="47"/>
        <v>133864.82058951081</v>
      </c>
      <c r="O279" s="4">
        <f t="shared" si="48"/>
        <v>407846.8765763836</v>
      </c>
    </row>
    <row r="280" spans="6:15" x14ac:dyDescent="0.2">
      <c r="F280">
        <v>279</v>
      </c>
      <c r="G280" s="2">
        <f t="shared" si="40"/>
        <v>53873</v>
      </c>
      <c r="H280" s="4">
        <f t="shared" si="41"/>
        <v>133864.82058951081</v>
      </c>
      <c r="I280" s="4">
        <f t="shared" si="42"/>
        <v>2684.1081150606951</v>
      </c>
      <c r="J280" s="4">
        <f t="shared" si="43"/>
        <v>100</v>
      </c>
      <c r="K280" s="4">
        <f t="shared" si="45"/>
        <v>2784.1081150606951</v>
      </c>
      <c r="L280" s="4">
        <f t="shared" si="46"/>
        <v>2226.3380292710667</v>
      </c>
      <c r="M280" s="4">
        <f t="shared" si="44"/>
        <v>557.77008578962841</v>
      </c>
      <c r="N280" s="4">
        <f t="shared" si="47"/>
        <v>131638.48256023973</v>
      </c>
      <c r="O280" s="4">
        <f t="shared" si="48"/>
        <v>408404.64666217321</v>
      </c>
    </row>
    <row r="281" spans="6:15" x14ac:dyDescent="0.2">
      <c r="F281">
        <v>280</v>
      </c>
      <c r="G281" s="2">
        <f t="shared" si="40"/>
        <v>53904</v>
      </c>
      <c r="H281" s="4">
        <f t="shared" si="41"/>
        <v>131638.48256023973</v>
      </c>
      <c r="I281" s="4">
        <f t="shared" si="42"/>
        <v>2684.1081150606951</v>
      </c>
      <c r="J281" s="4">
        <f t="shared" si="43"/>
        <v>100</v>
      </c>
      <c r="K281" s="4">
        <f t="shared" si="45"/>
        <v>2784.1081150606951</v>
      </c>
      <c r="L281" s="4">
        <f t="shared" si="46"/>
        <v>2235.6144377263627</v>
      </c>
      <c r="M281" s="4">
        <f t="shared" si="44"/>
        <v>548.49367733433223</v>
      </c>
      <c r="N281" s="4">
        <f t="shared" si="47"/>
        <v>129402.86812251338</v>
      </c>
      <c r="O281" s="4">
        <f t="shared" si="48"/>
        <v>408953.14033950755</v>
      </c>
    </row>
    <row r="282" spans="6:15" x14ac:dyDescent="0.2">
      <c r="F282">
        <v>281</v>
      </c>
      <c r="G282" s="2">
        <f t="shared" si="40"/>
        <v>53935</v>
      </c>
      <c r="H282" s="4">
        <f t="shared" si="41"/>
        <v>129402.86812251338</v>
      </c>
      <c r="I282" s="4">
        <f t="shared" si="42"/>
        <v>2684.1081150606951</v>
      </c>
      <c r="J282" s="4">
        <f t="shared" si="43"/>
        <v>100</v>
      </c>
      <c r="K282" s="4">
        <f t="shared" si="45"/>
        <v>2784.1081150606951</v>
      </c>
      <c r="L282" s="4">
        <f t="shared" si="46"/>
        <v>2244.929497883556</v>
      </c>
      <c r="M282" s="4">
        <f t="shared" si="44"/>
        <v>539.17861717713913</v>
      </c>
      <c r="N282" s="4">
        <f t="shared" si="47"/>
        <v>127157.93862462982</v>
      </c>
      <c r="O282" s="4">
        <f t="shared" si="48"/>
        <v>409492.31895668467</v>
      </c>
    </row>
    <row r="283" spans="6:15" x14ac:dyDescent="0.2">
      <c r="F283">
        <v>282</v>
      </c>
      <c r="G283" s="2">
        <f t="shared" si="40"/>
        <v>53965</v>
      </c>
      <c r="H283" s="4">
        <f t="shared" si="41"/>
        <v>127157.93862462982</v>
      </c>
      <c r="I283" s="4">
        <f t="shared" si="42"/>
        <v>2684.1081150606951</v>
      </c>
      <c r="J283" s="4">
        <f t="shared" si="43"/>
        <v>100</v>
      </c>
      <c r="K283" s="4">
        <f t="shared" si="45"/>
        <v>2784.1081150606951</v>
      </c>
      <c r="L283" s="4">
        <f t="shared" si="46"/>
        <v>2254.2833707914042</v>
      </c>
      <c r="M283" s="4">
        <f t="shared" si="44"/>
        <v>529.82474426929093</v>
      </c>
      <c r="N283" s="4">
        <f t="shared" si="47"/>
        <v>124903.65525383841</v>
      </c>
      <c r="O283" s="4">
        <f t="shared" si="48"/>
        <v>410022.14370095398</v>
      </c>
    </row>
    <row r="284" spans="6:15" x14ac:dyDescent="0.2">
      <c r="F284">
        <v>283</v>
      </c>
      <c r="G284" s="2">
        <f t="shared" si="40"/>
        <v>53996</v>
      </c>
      <c r="H284" s="4">
        <f t="shared" si="41"/>
        <v>124903.65525383841</v>
      </c>
      <c r="I284" s="4">
        <f t="shared" si="42"/>
        <v>2684.1081150606951</v>
      </c>
      <c r="J284" s="4">
        <f t="shared" si="43"/>
        <v>100</v>
      </c>
      <c r="K284" s="4">
        <f t="shared" si="45"/>
        <v>2784.1081150606951</v>
      </c>
      <c r="L284" s="4">
        <f t="shared" si="46"/>
        <v>2263.6762181697018</v>
      </c>
      <c r="M284" s="4">
        <f t="shared" si="44"/>
        <v>520.43189689099347</v>
      </c>
      <c r="N284" s="4">
        <f t="shared" si="47"/>
        <v>122639.97903566872</v>
      </c>
      <c r="O284" s="4">
        <f t="shared" si="48"/>
        <v>410542.57559784496</v>
      </c>
    </row>
    <row r="285" spans="6:15" x14ac:dyDescent="0.2">
      <c r="F285">
        <v>284</v>
      </c>
      <c r="G285" s="2">
        <f t="shared" si="40"/>
        <v>54026</v>
      </c>
      <c r="H285" s="4">
        <f t="shared" si="41"/>
        <v>122639.97903566872</v>
      </c>
      <c r="I285" s="4">
        <f t="shared" si="42"/>
        <v>2684.1081150606951</v>
      </c>
      <c r="J285" s="4">
        <f t="shared" si="43"/>
        <v>100</v>
      </c>
      <c r="K285" s="4">
        <f t="shared" si="45"/>
        <v>2784.1081150606951</v>
      </c>
      <c r="L285" s="4">
        <f t="shared" si="46"/>
        <v>2273.1082024120756</v>
      </c>
      <c r="M285" s="4">
        <f t="shared" si="44"/>
        <v>510.99991264861973</v>
      </c>
      <c r="N285" s="4">
        <f t="shared" si="47"/>
        <v>120366.87083325665</v>
      </c>
      <c r="O285" s="4">
        <f t="shared" si="48"/>
        <v>411053.5755104936</v>
      </c>
    </row>
    <row r="286" spans="6:15" x14ac:dyDescent="0.2">
      <c r="F286">
        <v>285</v>
      </c>
      <c r="G286" s="2">
        <f t="shared" si="40"/>
        <v>54057</v>
      </c>
      <c r="H286" s="4">
        <f t="shared" si="41"/>
        <v>120366.87083325665</v>
      </c>
      <c r="I286" s="4">
        <f t="shared" si="42"/>
        <v>2684.1081150606951</v>
      </c>
      <c r="J286" s="4">
        <f t="shared" si="43"/>
        <v>100</v>
      </c>
      <c r="K286" s="4">
        <f t="shared" si="45"/>
        <v>2784.1081150606951</v>
      </c>
      <c r="L286" s="4">
        <f t="shared" si="46"/>
        <v>2282.5794865887924</v>
      </c>
      <c r="M286" s="4">
        <f t="shared" si="44"/>
        <v>501.52862847190272</v>
      </c>
      <c r="N286" s="4">
        <f t="shared" si="47"/>
        <v>118084.29134666786</v>
      </c>
      <c r="O286" s="4">
        <f t="shared" si="48"/>
        <v>411555.10413896549</v>
      </c>
    </row>
    <row r="287" spans="6:15" x14ac:dyDescent="0.2">
      <c r="F287">
        <v>286</v>
      </c>
      <c r="G287" s="2">
        <f t="shared" si="40"/>
        <v>54088</v>
      </c>
      <c r="H287" s="4">
        <f t="shared" si="41"/>
        <v>118084.29134666786</v>
      </c>
      <c r="I287" s="4">
        <f t="shared" si="42"/>
        <v>2684.1081150606951</v>
      </c>
      <c r="J287" s="4">
        <f t="shared" si="43"/>
        <v>100</v>
      </c>
      <c r="K287" s="4">
        <f t="shared" si="45"/>
        <v>2784.1081150606951</v>
      </c>
      <c r="L287" s="4">
        <f t="shared" si="46"/>
        <v>2292.0902344495789</v>
      </c>
      <c r="M287" s="4">
        <f t="shared" si="44"/>
        <v>492.01788061111614</v>
      </c>
      <c r="N287" s="4">
        <f t="shared" si="47"/>
        <v>115792.20111221827</v>
      </c>
      <c r="O287" s="4">
        <f t="shared" si="48"/>
        <v>412047.12201957661</v>
      </c>
    </row>
    <row r="288" spans="6:15" x14ac:dyDescent="0.2">
      <c r="F288">
        <v>287</v>
      </c>
      <c r="G288" s="2">
        <f t="shared" si="40"/>
        <v>54117</v>
      </c>
      <c r="H288" s="4">
        <f t="shared" si="41"/>
        <v>115792.20111221827</v>
      </c>
      <c r="I288" s="4">
        <f t="shared" si="42"/>
        <v>2684.1081150606951</v>
      </c>
      <c r="J288" s="4">
        <f t="shared" si="43"/>
        <v>100</v>
      </c>
      <c r="K288" s="4">
        <f t="shared" si="45"/>
        <v>2784.1081150606951</v>
      </c>
      <c r="L288" s="4">
        <f t="shared" si="46"/>
        <v>2301.6406104264524</v>
      </c>
      <c r="M288" s="4">
        <f t="shared" si="44"/>
        <v>482.46750463424286</v>
      </c>
      <c r="N288" s="4">
        <f t="shared" si="47"/>
        <v>113490.56050179183</v>
      </c>
      <c r="O288" s="4">
        <f t="shared" si="48"/>
        <v>412529.58952421084</v>
      </c>
    </row>
    <row r="289" spans="6:15" x14ac:dyDescent="0.2">
      <c r="F289">
        <v>288</v>
      </c>
      <c r="G289" s="2">
        <f t="shared" si="40"/>
        <v>54148</v>
      </c>
      <c r="H289" s="4">
        <f t="shared" si="41"/>
        <v>113490.56050179183</v>
      </c>
      <c r="I289" s="4">
        <f t="shared" si="42"/>
        <v>2684.1081150606951</v>
      </c>
      <c r="J289" s="4">
        <f t="shared" si="43"/>
        <v>100</v>
      </c>
      <c r="K289" s="4">
        <f t="shared" si="45"/>
        <v>2784.1081150606951</v>
      </c>
      <c r="L289" s="4">
        <f t="shared" si="46"/>
        <v>2311.2307796365626</v>
      </c>
      <c r="M289" s="4">
        <f t="shared" si="44"/>
        <v>472.8773354241327</v>
      </c>
      <c r="N289" s="4">
        <f t="shared" si="47"/>
        <v>111179.32972215526</v>
      </c>
      <c r="O289" s="4">
        <f t="shared" si="48"/>
        <v>413002.46685963497</v>
      </c>
    </row>
    <row r="290" spans="6:15" x14ac:dyDescent="0.2">
      <c r="F290">
        <v>289</v>
      </c>
      <c r="G290" s="2">
        <f t="shared" si="40"/>
        <v>54178</v>
      </c>
      <c r="H290" s="4">
        <f t="shared" si="41"/>
        <v>111179.32972215526</v>
      </c>
      <c r="I290" s="4">
        <f t="shared" si="42"/>
        <v>2684.1081150606951</v>
      </c>
      <c r="J290" s="4">
        <f t="shared" si="43"/>
        <v>100</v>
      </c>
      <c r="K290" s="4">
        <f t="shared" si="45"/>
        <v>2784.1081150606951</v>
      </c>
      <c r="L290" s="4">
        <f t="shared" si="46"/>
        <v>2320.8609078850482</v>
      </c>
      <c r="M290" s="4">
        <f t="shared" si="44"/>
        <v>463.24720717564696</v>
      </c>
      <c r="N290" s="4">
        <f t="shared" si="47"/>
        <v>108858.46881427022</v>
      </c>
      <c r="O290" s="4">
        <f t="shared" si="48"/>
        <v>413465.71406681061</v>
      </c>
    </row>
    <row r="291" spans="6:15" x14ac:dyDescent="0.2">
      <c r="F291">
        <v>290</v>
      </c>
      <c r="G291" s="2">
        <f t="shared" si="40"/>
        <v>54209</v>
      </c>
      <c r="H291" s="4">
        <f t="shared" si="41"/>
        <v>108858.46881427022</v>
      </c>
      <c r="I291" s="4">
        <f t="shared" si="42"/>
        <v>2684.1081150606951</v>
      </c>
      <c r="J291" s="4">
        <f t="shared" si="43"/>
        <v>100</v>
      </c>
      <c r="K291" s="4">
        <f t="shared" si="45"/>
        <v>2784.1081150606951</v>
      </c>
      <c r="L291" s="4">
        <f t="shared" si="46"/>
        <v>2330.5311616679023</v>
      </c>
      <c r="M291" s="4">
        <f t="shared" si="44"/>
        <v>453.57695339279263</v>
      </c>
      <c r="N291" s="4">
        <f t="shared" si="47"/>
        <v>106527.93765260233</v>
      </c>
      <c r="O291" s="4">
        <f t="shared" si="48"/>
        <v>413919.29102020338</v>
      </c>
    </row>
    <row r="292" spans="6:15" x14ac:dyDescent="0.2">
      <c r="F292">
        <v>291</v>
      </c>
      <c r="G292" s="2">
        <f t="shared" si="40"/>
        <v>54239</v>
      </c>
      <c r="H292" s="4">
        <f t="shared" si="41"/>
        <v>106527.93765260233</v>
      </c>
      <c r="I292" s="4">
        <f t="shared" si="42"/>
        <v>2684.1081150606951</v>
      </c>
      <c r="J292" s="4">
        <f t="shared" si="43"/>
        <v>100</v>
      </c>
      <c r="K292" s="4">
        <f t="shared" si="45"/>
        <v>2784.1081150606951</v>
      </c>
      <c r="L292" s="4">
        <f t="shared" si="46"/>
        <v>2340.2417081748522</v>
      </c>
      <c r="M292" s="4">
        <f t="shared" si="44"/>
        <v>443.86640688584311</v>
      </c>
      <c r="N292" s="4">
        <f t="shared" si="47"/>
        <v>104187.69594442747</v>
      </c>
      <c r="O292" s="4">
        <f t="shared" si="48"/>
        <v>414363.15742708923</v>
      </c>
    </row>
    <row r="293" spans="6:15" x14ac:dyDescent="0.2">
      <c r="F293">
        <v>292</v>
      </c>
      <c r="G293" s="2">
        <f t="shared" si="40"/>
        <v>54270</v>
      </c>
      <c r="H293" s="4">
        <f t="shared" si="41"/>
        <v>104187.69594442747</v>
      </c>
      <c r="I293" s="4">
        <f t="shared" si="42"/>
        <v>2684.1081150606951</v>
      </c>
      <c r="J293" s="4">
        <f t="shared" si="43"/>
        <v>100</v>
      </c>
      <c r="K293" s="4">
        <f t="shared" si="45"/>
        <v>2784.1081150606951</v>
      </c>
      <c r="L293" s="4">
        <f t="shared" si="46"/>
        <v>2349.9927152922473</v>
      </c>
      <c r="M293" s="4">
        <f t="shared" si="44"/>
        <v>434.11539976844779</v>
      </c>
      <c r="N293" s="4">
        <f t="shared" si="47"/>
        <v>101837.70322913522</v>
      </c>
      <c r="O293" s="4">
        <f t="shared" si="48"/>
        <v>414797.27282685769</v>
      </c>
    </row>
    <row r="294" spans="6:15" x14ac:dyDescent="0.2">
      <c r="F294">
        <v>293</v>
      </c>
      <c r="G294" s="2">
        <f t="shared" si="40"/>
        <v>54301</v>
      </c>
      <c r="H294" s="4">
        <f t="shared" si="41"/>
        <v>101837.70322913522</v>
      </c>
      <c r="I294" s="4">
        <f t="shared" si="42"/>
        <v>2684.1081150606951</v>
      </c>
      <c r="J294" s="4">
        <f t="shared" si="43"/>
        <v>100</v>
      </c>
      <c r="K294" s="4">
        <f t="shared" si="45"/>
        <v>2784.1081150606951</v>
      </c>
      <c r="L294" s="4">
        <f t="shared" si="46"/>
        <v>2359.7843516059652</v>
      </c>
      <c r="M294" s="4">
        <f t="shared" si="44"/>
        <v>424.32376345473011</v>
      </c>
      <c r="N294" s="4">
        <f t="shared" si="47"/>
        <v>99477.918877529257</v>
      </c>
      <c r="O294" s="4">
        <f t="shared" si="48"/>
        <v>415221.59659031243</v>
      </c>
    </row>
    <row r="295" spans="6:15" x14ac:dyDescent="0.2">
      <c r="F295">
        <v>294</v>
      </c>
      <c r="G295" s="2">
        <f t="shared" si="40"/>
        <v>54331</v>
      </c>
      <c r="H295" s="4">
        <f t="shared" si="41"/>
        <v>99477.918877529257</v>
      </c>
      <c r="I295" s="4">
        <f t="shared" si="42"/>
        <v>2684.1081150606951</v>
      </c>
      <c r="J295" s="4">
        <f t="shared" si="43"/>
        <v>100</v>
      </c>
      <c r="K295" s="4">
        <f t="shared" si="45"/>
        <v>2784.1081150606951</v>
      </c>
      <c r="L295" s="4">
        <f t="shared" si="46"/>
        <v>2369.6167864043232</v>
      </c>
      <c r="M295" s="4">
        <f t="shared" si="44"/>
        <v>414.49132865637193</v>
      </c>
      <c r="N295" s="4">
        <f t="shared" si="47"/>
        <v>97108.302091124933</v>
      </c>
      <c r="O295" s="4">
        <f t="shared" si="48"/>
        <v>415636.08791896881</v>
      </c>
    </row>
    <row r="296" spans="6:15" x14ac:dyDescent="0.2">
      <c r="F296">
        <v>295</v>
      </c>
      <c r="G296" s="2">
        <f t="shared" si="40"/>
        <v>54362</v>
      </c>
      <c r="H296" s="4">
        <f t="shared" si="41"/>
        <v>97108.302091124933</v>
      </c>
      <c r="I296" s="4">
        <f t="shared" si="42"/>
        <v>2684.1081150606951</v>
      </c>
      <c r="J296" s="4">
        <f t="shared" si="43"/>
        <v>100</v>
      </c>
      <c r="K296" s="4">
        <f t="shared" si="45"/>
        <v>2784.1081150606951</v>
      </c>
      <c r="L296" s="4">
        <f t="shared" si="46"/>
        <v>2379.4901896810079</v>
      </c>
      <c r="M296" s="4">
        <f t="shared" si="44"/>
        <v>404.61792537968722</v>
      </c>
      <c r="N296" s="4">
        <f t="shared" si="47"/>
        <v>94728.811901443929</v>
      </c>
      <c r="O296" s="4">
        <f t="shared" si="48"/>
        <v>416040.70584434853</v>
      </c>
    </row>
    <row r="297" spans="6:15" x14ac:dyDescent="0.2">
      <c r="F297">
        <v>296</v>
      </c>
      <c r="G297" s="2">
        <f t="shared" si="40"/>
        <v>54392</v>
      </c>
      <c r="H297" s="4">
        <f t="shared" si="41"/>
        <v>94728.811901443929</v>
      </c>
      <c r="I297" s="4">
        <f t="shared" si="42"/>
        <v>2684.1081150606951</v>
      </c>
      <c r="J297" s="4">
        <f t="shared" si="43"/>
        <v>100</v>
      </c>
      <c r="K297" s="4">
        <f t="shared" si="45"/>
        <v>2784.1081150606951</v>
      </c>
      <c r="L297" s="4">
        <f t="shared" si="46"/>
        <v>2389.4047321380122</v>
      </c>
      <c r="M297" s="4">
        <f t="shared" si="44"/>
        <v>394.70338292268303</v>
      </c>
      <c r="N297" s="4">
        <f t="shared" si="47"/>
        <v>92339.407169305923</v>
      </c>
      <c r="O297" s="4">
        <f t="shared" si="48"/>
        <v>416435.40922727122</v>
      </c>
    </row>
    <row r="298" spans="6:15" x14ac:dyDescent="0.2">
      <c r="F298">
        <v>297</v>
      </c>
      <c r="G298" s="2">
        <f t="shared" si="40"/>
        <v>54423</v>
      </c>
      <c r="H298" s="4">
        <f t="shared" si="41"/>
        <v>92339.407169305923</v>
      </c>
      <c r="I298" s="4">
        <f t="shared" si="42"/>
        <v>2684.1081150606951</v>
      </c>
      <c r="J298" s="4">
        <f t="shared" si="43"/>
        <v>100</v>
      </c>
      <c r="K298" s="4">
        <f t="shared" si="45"/>
        <v>2784.1081150606951</v>
      </c>
      <c r="L298" s="4">
        <f t="shared" si="46"/>
        <v>2399.3605851885873</v>
      </c>
      <c r="M298" s="4">
        <f t="shared" si="44"/>
        <v>384.74752987210803</v>
      </c>
      <c r="N298" s="4">
        <f t="shared" si="47"/>
        <v>89940.046584117343</v>
      </c>
      <c r="O298" s="4">
        <f t="shared" si="48"/>
        <v>416820.15675714333</v>
      </c>
    </row>
    <row r="299" spans="6:15" x14ac:dyDescent="0.2">
      <c r="F299">
        <v>298</v>
      </c>
      <c r="G299" s="2">
        <f t="shared" si="40"/>
        <v>54454</v>
      </c>
      <c r="H299" s="4">
        <f t="shared" si="41"/>
        <v>89940.046584117343</v>
      </c>
      <c r="I299" s="4">
        <f t="shared" si="42"/>
        <v>2684.1081150606951</v>
      </c>
      <c r="J299" s="4">
        <f t="shared" si="43"/>
        <v>100</v>
      </c>
      <c r="K299" s="4">
        <f t="shared" si="45"/>
        <v>2784.1081150606951</v>
      </c>
      <c r="L299" s="4">
        <f t="shared" si="46"/>
        <v>2409.3579209602062</v>
      </c>
      <c r="M299" s="4">
        <f t="shared" si="44"/>
        <v>374.75019410048895</v>
      </c>
      <c r="N299" s="4">
        <f t="shared" si="47"/>
        <v>87530.68866315714</v>
      </c>
      <c r="O299" s="4">
        <f t="shared" si="48"/>
        <v>417194.90695124381</v>
      </c>
    </row>
    <row r="300" spans="6:15" x14ac:dyDescent="0.2">
      <c r="F300">
        <v>299</v>
      </c>
      <c r="G300" s="2">
        <f t="shared" si="40"/>
        <v>54482</v>
      </c>
      <c r="H300" s="4">
        <f t="shared" si="41"/>
        <v>87530.68866315714</v>
      </c>
      <c r="I300" s="4">
        <f t="shared" si="42"/>
        <v>2684.1081150606951</v>
      </c>
      <c r="J300" s="4">
        <f t="shared" si="43"/>
        <v>100</v>
      </c>
      <c r="K300" s="4">
        <f t="shared" si="45"/>
        <v>2784.1081150606951</v>
      </c>
      <c r="L300" s="4">
        <f t="shared" si="46"/>
        <v>2419.3969122975404</v>
      </c>
      <c r="M300" s="4">
        <f t="shared" si="44"/>
        <v>364.71120276315474</v>
      </c>
      <c r="N300" s="4">
        <f t="shared" si="47"/>
        <v>85111.2917508596</v>
      </c>
      <c r="O300" s="4">
        <f t="shared" si="48"/>
        <v>417559.61815400695</v>
      </c>
    </row>
    <row r="301" spans="6:15" x14ac:dyDescent="0.2">
      <c r="F301">
        <v>300</v>
      </c>
      <c r="G301" s="2">
        <f t="shared" si="40"/>
        <v>54513</v>
      </c>
      <c r="H301" s="4">
        <f t="shared" si="41"/>
        <v>85111.2917508596</v>
      </c>
      <c r="I301" s="4">
        <f t="shared" si="42"/>
        <v>2684.1081150606951</v>
      </c>
      <c r="J301" s="4">
        <f t="shared" si="43"/>
        <v>100</v>
      </c>
      <c r="K301" s="4">
        <f t="shared" si="45"/>
        <v>2784.1081150606951</v>
      </c>
      <c r="L301" s="4">
        <f t="shared" si="46"/>
        <v>2429.4777327654469</v>
      </c>
      <c r="M301" s="4">
        <f t="shared" si="44"/>
        <v>354.63038229524835</v>
      </c>
      <c r="N301" s="4">
        <f t="shared" si="47"/>
        <v>82681.814018094155</v>
      </c>
      <c r="O301" s="4">
        <f t="shared" si="48"/>
        <v>417914.24853630218</v>
      </c>
    </row>
    <row r="302" spans="6:15" x14ac:dyDescent="0.2">
      <c r="F302">
        <v>301</v>
      </c>
      <c r="G302" s="2">
        <f t="shared" si="40"/>
        <v>54543</v>
      </c>
      <c r="H302" s="4">
        <f t="shared" si="41"/>
        <v>82681.814018094155</v>
      </c>
      <c r="I302" s="4">
        <f t="shared" si="42"/>
        <v>2684.1081150606951</v>
      </c>
      <c r="J302" s="4">
        <f t="shared" si="43"/>
        <v>100</v>
      </c>
      <c r="K302" s="4">
        <f t="shared" si="45"/>
        <v>2784.1081150606951</v>
      </c>
      <c r="L302" s="4">
        <f t="shared" si="46"/>
        <v>2439.6005566519693</v>
      </c>
      <c r="M302" s="4">
        <f t="shared" si="44"/>
        <v>344.50755840872563</v>
      </c>
      <c r="N302" s="4">
        <f t="shared" si="47"/>
        <v>80242.213461442181</v>
      </c>
      <c r="O302" s="4">
        <f t="shared" si="48"/>
        <v>418258.7560947109</v>
      </c>
    </row>
    <row r="303" spans="6:15" x14ac:dyDescent="0.2">
      <c r="F303">
        <v>302</v>
      </c>
      <c r="G303" s="2">
        <f t="shared" si="40"/>
        <v>54574</v>
      </c>
      <c r="H303" s="4">
        <f t="shared" si="41"/>
        <v>80242.213461442181</v>
      </c>
      <c r="I303" s="4">
        <f t="shared" si="42"/>
        <v>2684.1081150606951</v>
      </c>
      <c r="J303" s="4">
        <f t="shared" si="43"/>
        <v>100</v>
      </c>
      <c r="K303" s="4">
        <f t="shared" si="45"/>
        <v>2784.1081150606951</v>
      </c>
      <c r="L303" s="4">
        <f t="shared" si="46"/>
        <v>2449.7655589713527</v>
      </c>
      <c r="M303" s="4">
        <f t="shared" si="44"/>
        <v>334.34255608934245</v>
      </c>
      <c r="N303" s="4">
        <f t="shared" si="47"/>
        <v>77792.447902470827</v>
      </c>
      <c r="O303" s="4">
        <f t="shared" si="48"/>
        <v>418593.09865080024</v>
      </c>
    </row>
    <row r="304" spans="6:15" x14ac:dyDescent="0.2">
      <c r="F304">
        <v>303</v>
      </c>
      <c r="G304" s="2">
        <f t="shared" si="40"/>
        <v>54604</v>
      </c>
      <c r="H304" s="4">
        <f t="shared" si="41"/>
        <v>77792.447902470827</v>
      </c>
      <c r="I304" s="4">
        <f t="shared" si="42"/>
        <v>2684.1081150606951</v>
      </c>
      <c r="J304" s="4">
        <f t="shared" si="43"/>
        <v>100</v>
      </c>
      <c r="K304" s="4">
        <f t="shared" si="45"/>
        <v>2784.1081150606951</v>
      </c>
      <c r="L304" s="4">
        <f t="shared" si="46"/>
        <v>2459.9729154670667</v>
      </c>
      <c r="M304" s="4">
        <f t="shared" si="44"/>
        <v>324.13519959362844</v>
      </c>
      <c r="N304" s="4">
        <f t="shared" si="47"/>
        <v>75332.474987003763</v>
      </c>
      <c r="O304" s="4">
        <f t="shared" si="48"/>
        <v>418917.23385039385</v>
      </c>
    </row>
    <row r="305" spans="6:15" x14ac:dyDescent="0.2">
      <c r="F305">
        <v>304</v>
      </c>
      <c r="G305" s="2">
        <f t="shared" si="40"/>
        <v>54635</v>
      </c>
      <c r="H305" s="4">
        <f t="shared" si="41"/>
        <v>75332.474987003763</v>
      </c>
      <c r="I305" s="4">
        <f t="shared" si="42"/>
        <v>2684.1081150606951</v>
      </c>
      <c r="J305" s="4">
        <f t="shared" si="43"/>
        <v>100</v>
      </c>
      <c r="K305" s="4">
        <f t="shared" si="45"/>
        <v>2784.1081150606951</v>
      </c>
      <c r="L305" s="4">
        <f t="shared" si="46"/>
        <v>2470.2228026148459</v>
      </c>
      <c r="M305" s="4">
        <f t="shared" si="44"/>
        <v>313.88531244584902</v>
      </c>
      <c r="N305" s="4">
        <f t="shared" si="47"/>
        <v>72862.252184388912</v>
      </c>
      <c r="O305" s="4">
        <f t="shared" si="48"/>
        <v>419231.11916283972</v>
      </c>
    </row>
    <row r="306" spans="6:15" x14ac:dyDescent="0.2">
      <c r="F306">
        <v>305</v>
      </c>
      <c r="G306" s="2">
        <f t="shared" si="40"/>
        <v>54666</v>
      </c>
      <c r="H306" s="4">
        <f t="shared" si="41"/>
        <v>72862.252184388912</v>
      </c>
      <c r="I306" s="4">
        <f t="shared" si="42"/>
        <v>2684.1081150606951</v>
      </c>
      <c r="J306" s="4">
        <f t="shared" si="43"/>
        <v>100</v>
      </c>
      <c r="K306" s="4">
        <f t="shared" si="45"/>
        <v>2784.1081150606951</v>
      </c>
      <c r="L306" s="4">
        <f t="shared" si="46"/>
        <v>2480.5153976257411</v>
      </c>
      <c r="M306" s="4">
        <f t="shared" si="44"/>
        <v>303.59271743495384</v>
      </c>
      <c r="N306" s="4">
        <f t="shared" si="47"/>
        <v>70381.736786763169</v>
      </c>
      <c r="O306" s="4">
        <f t="shared" si="48"/>
        <v>419534.7118802747</v>
      </c>
    </row>
    <row r="307" spans="6:15" x14ac:dyDescent="0.2">
      <c r="F307">
        <v>306</v>
      </c>
      <c r="G307" s="2">
        <f t="shared" si="40"/>
        <v>54696</v>
      </c>
      <c r="H307" s="4">
        <f t="shared" si="41"/>
        <v>70381.736786763169</v>
      </c>
      <c r="I307" s="4">
        <f t="shared" si="42"/>
        <v>2684.1081150606951</v>
      </c>
      <c r="J307" s="4">
        <f t="shared" si="43"/>
        <v>100</v>
      </c>
      <c r="K307" s="4">
        <f t="shared" si="45"/>
        <v>2784.1081150606951</v>
      </c>
      <c r="L307" s="4">
        <f t="shared" si="46"/>
        <v>2490.8508784491819</v>
      </c>
      <c r="M307" s="4">
        <f t="shared" si="44"/>
        <v>293.25723661151324</v>
      </c>
      <c r="N307" s="4">
        <f t="shared" si="47"/>
        <v>67890.885908313983</v>
      </c>
      <c r="O307" s="4">
        <f t="shared" si="48"/>
        <v>419827.9691168862</v>
      </c>
    </row>
    <row r="308" spans="6:15" x14ac:dyDescent="0.2">
      <c r="F308">
        <v>307</v>
      </c>
      <c r="G308" s="2">
        <f t="shared" si="40"/>
        <v>54727</v>
      </c>
      <c r="H308" s="4">
        <f t="shared" si="41"/>
        <v>67890.885908313983</v>
      </c>
      <c r="I308" s="4">
        <f t="shared" si="42"/>
        <v>2684.1081150606951</v>
      </c>
      <c r="J308" s="4">
        <f t="shared" si="43"/>
        <v>100</v>
      </c>
      <c r="K308" s="4">
        <f t="shared" si="45"/>
        <v>2784.1081150606951</v>
      </c>
      <c r="L308" s="4">
        <f t="shared" si="46"/>
        <v>2501.2294237760534</v>
      </c>
      <c r="M308" s="4">
        <f t="shared" si="44"/>
        <v>282.8786912846416</v>
      </c>
      <c r="N308" s="4">
        <f t="shared" si="47"/>
        <v>65389.656484537933</v>
      </c>
      <c r="O308" s="4">
        <f t="shared" si="48"/>
        <v>420110.84780817083</v>
      </c>
    </row>
    <row r="309" spans="6:15" x14ac:dyDescent="0.2">
      <c r="F309">
        <v>308</v>
      </c>
      <c r="G309" s="2">
        <f t="shared" si="40"/>
        <v>54757</v>
      </c>
      <c r="H309" s="4">
        <f t="shared" si="41"/>
        <v>65389.656484537933</v>
      </c>
      <c r="I309" s="4">
        <f t="shared" si="42"/>
        <v>2684.1081150606951</v>
      </c>
      <c r="J309" s="4">
        <f t="shared" si="43"/>
        <v>100</v>
      </c>
      <c r="K309" s="4">
        <f t="shared" si="45"/>
        <v>2784.1081150606951</v>
      </c>
      <c r="L309" s="4">
        <f t="shared" si="46"/>
        <v>2511.6512130417868</v>
      </c>
      <c r="M309" s="4">
        <f t="shared" si="44"/>
        <v>272.45690201890807</v>
      </c>
      <c r="N309" s="4">
        <f t="shared" si="47"/>
        <v>62878.005271496149</v>
      </c>
      <c r="O309" s="4">
        <f t="shared" si="48"/>
        <v>420383.30471018975</v>
      </c>
    </row>
    <row r="310" spans="6:15" x14ac:dyDescent="0.2">
      <c r="F310">
        <v>309</v>
      </c>
      <c r="G310" s="2">
        <f t="shared" si="40"/>
        <v>54788</v>
      </c>
      <c r="H310" s="4">
        <f t="shared" si="41"/>
        <v>62878.005271496149</v>
      </c>
      <c r="I310" s="4">
        <f t="shared" si="42"/>
        <v>2684.1081150606951</v>
      </c>
      <c r="J310" s="4">
        <f t="shared" si="43"/>
        <v>100</v>
      </c>
      <c r="K310" s="4">
        <f t="shared" si="45"/>
        <v>2784.1081150606951</v>
      </c>
      <c r="L310" s="4">
        <f t="shared" si="46"/>
        <v>2522.1164264294612</v>
      </c>
      <c r="M310" s="4">
        <f t="shared" si="44"/>
        <v>261.99168863123396</v>
      </c>
      <c r="N310" s="4">
        <f t="shared" si="47"/>
        <v>60355.888845066685</v>
      </c>
      <c r="O310" s="4">
        <f t="shared" si="48"/>
        <v>420645.296398821</v>
      </c>
    </row>
    <row r="311" spans="6:15" x14ac:dyDescent="0.2">
      <c r="F311">
        <v>310</v>
      </c>
      <c r="G311" s="2">
        <f t="shared" si="40"/>
        <v>54819</v>
      </c>
      <c r="H311" s="4">
        <f t="shared" si="41"/>
        <v>60355.888845066685</v>
      </c>
      <c r="I311" s="4">
        <f t="shared" si="42"/>
        <v>2684.1081150606951</v>
      </c>
      <c r="J311" s="4">
        <f t="shared" si="43"/>
        <v>100</v>
      </c>
      <c r="K311" s="4">
        <f t="shared" si="45"/>
        <v>2784.1081150606951</v>
      </c>
      <c r="L311" s="4">
        <f t="shared" si="46"/>
        <v>2532.6252448729174</v>
      </c>
      <c r="M311" s="4">
        <f t="shared" si="44"/>
        <v>251.48287018777788</v>
      </c>
      <c r="N311" s="4">
        <f t="shared" si="47"/>
        <v>57823.263600193764</v>
      </c>
      <c r="O311" s="4">
        <f t="shared" si="48"/>
        <v>420896.77926900878</v>
      </c>
    </row>
    <row r="312" spans="6:15" x14ac:dyDescent="0.2">
      <c r="F312">
        <v>311</v>
      </c>
      <c r="G312" s="2">
        <f t="shared" si="40"/>
        <v>54847</v>
      </c>
      <c r="H312" s="4">
        <f t="shared" si="41"/>
        <v>57823.263600193764</v>
      </c>
      <c r="I312" s="4">
        <f t="shared" si="42"/>
        <v>2684.1081150606951</v>
      </c>
      <c r="J312" s="4">
        <f t="shared" si="43"/>
        <v>100</v>
      </c>
      <c r="K312" s="4">
        <f t="shared" si="45"/>
        <v>2784.1081150606951</v>
      </c>
      <c r="L312" s="4">
        <f t="shared" si="46"/>
        <v>2543.1778500598875</v>
      </c>
      <c r="M312" s="4">
        <f t="shared" si="44"/>
        <v>240.93026500080737</v>
      </c>
      <c r="N312" s="4">
        <f t="shared" si="47"/>
        <v>55280.085750133876</v>
      </c>
      <c r="O312" s="4">
        <f t="shared" si="48"/>
        <v>421137.70953400957</v>
      </c>
    </row>
    <row r="313" spans="6:15" x14ac:dyDescent="0.2">
      <c r="F313">
        <v>312</v>
      </c>
      <c r="G313" s="2">
        <f t="shared" si="40"/>
        <v>54878</v>
      </c>
      <c r="H313" s="4">
        <f t="shared" si="41"/>
        <v>55280.085750133876</v>
      </c>
      <c r="I313" s="4">
        <f t="shared" si="42"/>
        <v>2684.1081150606951</v>
      </c>
      <c r="J313" s="4">
        <f t="shared" si="43"/>
        <v>100</v>
      </c>
      <c r="K313" s="4">
        <f t="shared" si="45"/>
        <v>2784.1081150606951</v>
      </c>
      <c r="L313" s="4">
        <f t="shared" si="46"/>
        <v>2553.7744244351375</v>
      </c>
      <c r="M313" s="4">
        <f t="shared" si="44"/>
        <v>230.33369062555781</v>
      </c>
      <c r="N313" s="4">
        <f t="shared" si="47"/>
        <v>52726.311325698742</v>
      </c>
      <c r="O313" s="4">
        <f t="shared" si="48"/>
        <v>421368.04322463513</v>
      </c>
    </row>
    <row r="314" spans="6:15" x14ac:dyDescent="0.2">
      <c r="F314">
        <v>313</v>
      </c>
      <c r="G314" s="2">
        <f t="shared" si="40"/>
        <v>54908</v>
      </c>
      <c r="H314" s="4">
        <f t="shared" si="41"/>
        <v>52726.311325698742</v>
      </c>
      <c r="I314" s="4">
        <f t="shared" si="42"/>
        <v>2684.1081150606951</v>
      </c>
      <c r="J314" s="4">
        <f t="shared" si="43"/>
        <v>100</v>
      </c>
      <c r="K314" s="4">
        <f t="shared" si="45"/>
        <v>2784.1081150606951</v>
      </c>
      <c r="L314" s="4">
        <f t="shared" si="46"/>
        <v>2564.4151512036169</v>
      </c>
      <c r="M314" s="4">
        <f t="shared" si="44"/>
        <v>219.6929638570781</v>
      </c>
      <c r="N314" s="4">
        <f t="shared" si="47"/>
        <v>50161.896174495123</v>
      </c>
      <c r="O314" s="4">
        <f t="shared" si="48"/>
        <v>421587.73618849221</v>
      </c>
    </row>
    <row r="315" spans="6:15" x14ac:dyDescent="0.2">
      <c r="F315">
        <v>314</v>
      </c>
      <c r="G315" s="2">
        <f t="shared" si="40"/>
        <v>54939</v>
      </c>
      <c r="H315" s="4">
        <f t="shared" si="41"/>
        <v>50161.896174495123</v>
      </c>
      <c r="I315" s="4">
        <f t="shared" si="42"/>
        <v>2684.1081150606951</v>
      </c>
      <c r="J315" s="4">
        <f t="shared" si="43"/>
        <v>100</v>
      </c>
      <c r="K315" s="4">
        <f t="shared" si="45"/>
        <v>2784.1081150606951</v>
      </c>
      <c r="L315" s="4">
        <f t="shared" si="46"/>
        <v>2575.1002143336323</v>
      </c>
      <c r="M315" s="4">
        <f t="shared" si="44"/>
        <v>209.007900727063</v>
      </c>
      <c r="N315" s="4">
        <f t="shared" si="47"/>
        <v>47586.795960161493</v>
      </c>
      <c r="O315" s="4">
        <f t="shared" si="48"/>
        <v>421796.74408921925</v>
      </c>
    </row>
    <row r="316" spans="6:15" x14ac:dyDescent="0.2">
      <c r="F316">
        <v>315</v>
      </c>
      <c r="G316" s="2">
        <f t="shared" si="40"/>
        <v>54969</v>
      </c>
      <c r="H316" s="4">
        <f t="shared" si="41"/>
        <v>47586.795960161493</v>
      </c>
      <c r="I316" s="4">
        <f t="shared" si="42"/>
        <v>2684.1081150606951</v>
      </c>
      <c r="J316" s="4">
        <f t="shared" si="43"/>
        <v>100</v>
      </c>
      <c r="K316" s="4">
        <f t="shared" si="45"/>
        <v>2784.1081150606951</v>
      </c>
      <c r="L316" s="4">
        <f t="shared" si="46"/>
        <v>2585.829798560022</v>
      </c>
      <c r="M316" s="4">
        <f t="shared" si="44"/>
        <v>198.2783165006729</v>
      </c>
      <c r="N316" s="4">
        <f t="shared" si="47"/>
        <v>45000.966161601471</v>
      </c>
      <c r="O316" s="4">
        <f t="shared" si="48"/>
        <v>421995.02240571991</v>
      </c>
    </row>
    <row r="317" spans="6:15" x14ac:dyDescent="0.2">
      <c r="F317">
        <v>316</v>
      </c>
      <c r="G317" s="2">
        <f t="shared" si="40"/>
        <v>55000</v>
      </c>
      <c r="H317" s="4">
        <f t="shared" si="41"/>
        <v>45000.966161601471</v>
      </c>
      <c r="I317" s="4">
        <f t="shared" si="42"/>
        <v>2684.1081150606951</v>
      </c>
      <c r="J317" s="4">
        <f t="shared" si="43"/>
        <v>100</v>
      </c>
      <c r="K317" s="4">
        <f t="shared" si="45"/>
        <v>2784.1081150606951</v>
      </c>
      <c r="L317" s="4">
        <f t="shared" si="46"/>
        <v>2596.6040893873555</v>
      </c>
      <c r="M317" s="4">
        <f t="shared" si="44"/>
        <v>187.50402567333947</v>
      </c>
      <c r="N317" s="4">
        <f t="shared" si="47"/>
        <v>42404.362072214113</v>
      </c>
      <c r="O317" s="4">
        <f t="shared" si="48"/>
        <v>422182.52643139323</v>
      </c>
    </row>
    <row r="318" spans="6:15" x14ac:dyDescent="0.2">
      <c r="F318">
        <v>317</v>
      </c>
      <c r="G318" s="2">
        <f t="shared" si="40"/>
        <v>55031</v>
      </c>
      <c r="H318" s="4">
        <f t="shared" si="41"/>
        <v>42404.362072214113</v>
      </c>
      <c r="I318" s="4">
        <f t="shared" si="42"/>
        <v>2684.1081150606951</v>
      </c>
      <c r="J318" s="4">
        <f t="shared" si="43"/>
        <v>100</v>
      </c>
      <c r="K318" s="4">
        <f t="shared" si="45"/>
        <v>2784.1081150606951</v>
      </c>
      <c r="L318" s="4">
        <f t="shared" si="46"/>
        <v>2607.4232730931362</v>
      </c>
      <c r="M318" s="4">
        <f t="shared" si="44"/>
        <v>176.68484196755881</v>
      </c>
      <c r="N318" s="4">
        <f t="shared" si="47"/>
        <v>39796.938799120981</v>
      </c>
      <c r="O318" s="4">
        <f t="shared" si="48"/>
        <v>422359.21127336076</v>
      </c>
    </row>
    <row r="319" spans="6:15" x14ac:dyDescent="0.2">
      <c r="F319">
        <v>318</v>
      </c>
      <c r="G319" s="2">
        <f t="shared" si="40"/>
        <v>55061</v>
      </c>
      <c r="H319" s="4">
        <f t="shared" si="41"/>
        <v>39796.938799120981</v>
      </c>
      <c r="I319" s="4">
        <f t="shared" si="42"/>
        <v>2684.1081150606951</v>
      </c>
      <c r="J319" s="4">
        <f t="shared" si="43"/>
        <v>100</v>
      </c>
      <c r="K319" s="4">
        <f t="shared" si="45"/>
        <v>2784.1081150606951</v>
      </c>
      <c r="L319" s="4">
        <f t="shared" si="46"/>
        <v>2618.2875367310244</v>
      </c>
      <c r="M319" s="4">
        <f t="shared" si="44"/>
        <v>165.82057832967075</v>
      </c>
      <c r="N319" s="4">
        <f t="shared" si="47"/>
        <v>37178.651262389954</v>
      </c>
      <c r="O319" s="4">
        <f t="shared" si="48"/>
        <v>422525.03185169044</v>
      </c>
    </row>
    <row r="320" spans="6:15" x14ac:dyDescent="0.2">
      <c r="F320">
        <v>319</v>
      </c>
      <c r="G320" s="2">
        <f t="shared" si="40"/>
        <v>55092</v>
      </c>
      <c r="H320" s="4">
        <f t="shared" si="41"/>
        <v>37178.651262389954</v>
      </c>
      <c r="I320" s="4">
        <f t="shared" si="42"/>
        <v>2684.1081150606951</v>
      </c>
      <c r="J320" s="4">
        <f t="shared" si="43"/>
        <v>100</v>
      </c>
      <c r="K320" s="4">
        <f t="shared" si="45"/>
        <v>2784.1081150606951</v>
      </c>
      <c r="L320" s="4">
        <f t="shared" si="46"/>
        <v>2629.1970681340704</v>
      </c>
      <c r="M320" s="4">
        <f t="shared" si="44"/>
        <v>154.91104692662483</v>
      </c>
      <c r="N320" s="4">
        <f t="shared" si="47"/>
        <v>34549.454194255886</v>
      </c>
      <c r="O320" s="4">
        <f t="shared" si="48"/>
        <v>422679.94289861707</v>
      </c>
    </row>
    <row r="321" spans="6:15" x14ac:dyDescent="0.2">
      <c r="F321">
        <v>320</v>
      </c>
      <c r="G321" s="2">
        <f t="shared" si="40"/>
        <v>55122</v>
      </c>
      <c r="H321" s="4">
        <f t="shared" si="41"/>
        <v>34549.454194255886</v>
      </c>
      <c r="I321" s="4">
        <f t="shared" si="42"/>
        <v>2684.1081150606951</v>
      </c>
      <c r="J321" s="4">
        <f t="shared" si="43"/>
        <v>100</v>
      </c>
      <c r="K321" s="4">
        <f t="shared" si="45"/>
        <v>2784.1081150606951</v>
      </c>
      <c r="L321" s="4">
        <f t="shared" si="46"/>
        <v>2640.1520559179621</v>
      </c>
      <c r="M321" s="4">
        <f t="shared" si="44"/>
        <v>143.95605914273287</v>
      </c>
      <c r="N321" s="4">
        <f t="shared" si="47"/>
        <v>31909.302138337924</v>
      </c>
      <c r="O321" s="4">
        <f t="shared" si="48"/>
        <v>422823.89895775978</v>
      </c>
    </row>
    <row r="322" spans="6:15" x14ac:dyDescent="0.2">
      <c r="F322">
        <v>321</v>
      </c>
      <c r="G322" s="2">
        <f t="shared" ref="G322:G385" si="49">IF(F322 &lt;&gt; "", EOMONTH(D$7, ROW() - 1 - 1), "")</f>
        <v>55153</v>
      </c>
      <c r="H322" s="4">
        <f t="shared" ref="H322:H385" si="50">IF(F322&lt;&gt;"", IF(F322 = 1, D$3, N321),  "")</f>
        <v>31909.302138337924</v>
      </c>
      <c r="I322" s="4">
        <f t="shared" ref="I322:I385" si="51">IF(F322&lt;&gt;"", D$12, "")</f>
        <v>2684.1081150606951</v>
      </c>
      <c r="J322" s="4">
        <f t="shared" ref="J322:J385" si="52">IF(F322 &lt;&gt; "", D$8, "")</f>
        <v>100</v>
      </c>
      <c r="K322" s="4">
        <f t="shared" si="45"/>
        <v>2784.1081150606951</v>
      </c>
      <c r="L322" s="4">
        <f t="shared" si="46"/>
        <v>2651.1526894842873</v>
      </c>
      <c r="M322" s="4">
        <f t="shared" ref="M322:M385" si="53">IF(F322 &lt;&gt; "", H322 * D$4/D$6, "")</f>
        <v>132.95542557640803</v>
      </c>
      <c r="N322" s="4">
        <f t="shared" si="47"/>
        <v>29258.149448853637</v>
      </c>
      <c r="O322" s="4">
        <f t="shared" si="48"/>
        <v>422956.85438333621</v>
      </c>
    </row>
    <row r="323" spans="6:15" x14ac:dyDescent="0.2">
      <c r="F323">
        <v>322</v>
      </c>
      <c r="G323" s="2">
        <f t="shared" si="49"/>
        <v>55184</v>
      </c>
      <c r="H323" s="4">
        <f t="shared" si="50"/>
        <v>29258.149448853637</v>
      </c>
      <c r="I323" s="4">
        <f t="shared" si="51"/>
        <v>2684.1081150606951</v>
      </c>
      <c r="J323" s="4">
        <f t="shared" si="52"/>
        <v>100</v>
      </c>
      <c r="K323" s="4">
        <f t="shared" si="45"/>
        <v>2784.1081150606951</v>
      </c>
      <c r="L323" s="4">
        <f t="shared" si="46"/>
        <v>2662.1991590238049</v>
      </c>
      <c r="M323" s="4">
        <f t="shared" si="53"/>
        <v>121.90895603689016</v>
      </c>
      <c r="N323" s="4">
        <f t="shared" si="47"/>
        <v>26595.950289829831</v>
      </c>
      <c r="O323" s="4">
        <f t="shared" si="48"/>
        <v>423078.76333937311</v>
      </c>
    </row>
    <row r="324" spans="6:15" x14ac:dyDescent="0.2">
      <c r="F324">
        <v>323</v>
      </c>
      <c r="G324" s="2">
        <f t="shared" si="49"/>
        <v>55212</v>
      </c>
      <c r="H324" s="4">
        <f t="shared" si="50"/>
        <v>26595.950289829831</v>
      </c>
      <c r="I324" s="4">
        <f t="shared" si="51"/>
        <v>2684.1081150606951</v>
      </c>
      <c r="J324" s="4">
        <f t="shared" si="52"/>
        <v>100</v>
      </c>
      <c r="K324" s="4">
        <f t="shared" si="45"/>
        <v>2784.1081150606951</v>
      </c>
      <c r="L324" s="4">
        <f t="shared" si="46"/>
        <v>2673.2916555197376</v>
      </c>
      <c r="M324" s="4">
        <f t="shared" si="53"/>
        <v>110.81645954095764</v>
      </c>
      <c r="N324" s="4">
        <f t="shared" si="47"/>
        <v>23922.658634310093</v>
      </c>
      <c r="O324" s="4">
        <f t="shared" si="48"/>
        <v>423189.57979891408</v>
      </c>
    </row>
    <row r="325" spans="6:15" x14ac:dyDescent="0.2">
      <c r="F325">
        <v>324</v>
      </c>
      <c r="G325" s="2">
        <f t="shared" si="49"/>
        <v>55243</v>
      </c>
      <c r="H325" s="4">
        <f t="shared" si="50"/>
        <v>23922.658634310093</v>
      </c>
      <c r="I325" s="4">
        <f t="shared" si="51"/>
        <v>2684.1081150606951</v>
      </c>
      <c r="J325" s="4">
        <f t="shared" si="52"/>
        <v>100</v>
      </c>
      <c r="K325" s="4">
        <f t="shared" ref="K325:K388" si="54">IF(F325 &lt;&gt; "", I325+J325, "")</f>
        <v>2784.1081150606951</v>
      </c>
      <c r="L325" s="4">
        <f t="shared" ref="L325:L388" si="55">IF(F325&lt;&gt;"",K325-M325,"")</f>
        <v>2684.4303707510699</v>
      </c>
      <c r="M325" s="4">
        <f t="shared" si="53"/>
        <v>99.677744309625396</v>
      </c>
      <c r="N325" s="4">
        <f t="shared" ref="N325:N388" si="56">IF(F325 &lt;&gt; "", IF(H325-L325 &lt; 0, 0, H325-L325), "")</f>
        <v>21238.228263559024</v>
      </c>
      <c r="O325" s="4">
        <f t="shared" ref="O325:O388" si="57">IF(F325&lt;&gt;"", IF(F325 = 1, 0, O324) + M325, "")</f>
        <v>423289.25754322374</v>
      </c>
    </row>
    <row r="326" spans="6:15" x14ac:dyDescent="0.2">
      <c r="F326">
        <v>325</v>
      </c>
      <c r="G326" s="2">
        <f t="shared" si="49"/>
        <v>55273</v>
      </c>
      <c r="H326" s="4">
        <f t="shared" si="50"/>
        <v>21238.228263559024</v>
      </c>
      <c r="I326" s="4">
        <f t="shared" si="51"/>
        <v>2684.1081150606951</v>
      </c>
      <c r="J326" s="4">
        <f t="shared" si="52"/>
        <v>100</v>
      </c>
      <c r="K326" s="4">
        <f t="shared" si="54"/>
        <v>2784.1081150606951</v>
      </c>
      <c r="L326" s="4">
        <f t="shared" si="55"/>
        <v>2695.6154972958657</v>
      </c>
      <c r="M326" s="4">
        <f t="shared" si="53"/>
        <v>88.492617764829276</v>
      </c>
      <c r="N326" s="4">
        <f t="shared" si="56"/>
        <v>18542.612766263159</v>
      </c>
      <c r="O326" s="4">
        <f t="shared" si="57"/>
        <v>423377.75016098854</v>
      </c>
    </row>
    <row r="327" spans="6:15" x14ac:dyDescent="0.2">
      <c r="F327">
        <v>326</v>
      </c>
      <c r="G327" s="2">
        <f t="shared" si="49"/>
        <v>55304</v>
      </c>
      <c r="H327" s="4">
        <f t="shared" si="50"/>
        <v>18542.612766263159</v>
      </c>
      <c r="I327" s="4">
        <f t="shared" si="51"/>
        <v>2684.1081150606951</v>
      </c>
      <c r="J327" s="4">
        <f t="shared" si="52"/>
        <v>100</v>
      </c>
      <c r="K327" s="4">
        <f t="shared" si="54"/>
        <v>2784.1081150606951</v>
      </c>
      <c r="L327" s="4">
        <f t="shared" si="55"/>
        <v>2706.8472285345988</v>
      </c>
      <c r="M327" s="4">
        <f t="shared" si="53"/>
        <v>77.260886526096499</v>
      </c>
      <c r="N327" s="4">
        <f t="shared" si="56"/>
        <v>15835.765537728559</v>
      </c>
      <c r="O327" s="4">
        <f t="shared" si="57"/>
        <v>423455.01104751462</v>
      </c>
    </row>
    <row r="328" spans="6:15" x14ac:dyDescent="0.2">
      <c r="F328">
        <v>327</v>
      </c>
      <c r="G328" s="2">
        <f t="shared" si="49"/>
        <v>55334</v>
      </c>
      <c r="H328" s="4">
        <f t="shared" si="50"/>
        <v>15835.765537728559</v>
      </c>
      <c r="I328" s="4">
        <f t="shared" si="51"/>
        <v>2684.1081150606951</v>
      </c>
      <c r="J328" s="4">
        <f t="shared" si="52"/>
        <v>100</v>
      </c>
      <c r="K328" s="4">
        <f t="shared" si="54"/>
        <v>2784.1081150606951</v>
      </c>
      <c r="L328" s="4">
        <f t="shared" si="55"/>
        <v>2718.125758653493</v>
      </c>
      <c r="M328" s="4">
        <f t="shared" si="53"/>
        <v>65.982356407202332</v>
      </c>
      <c r="N328" s="4">
        <f t="shared" si="56"/>
        <v>13117.639779075067</v>
      </c>
      <c r="O328" s="4">
        <f t="shared" si="57"/>
        <v>423520.99340392184</v>
      </c>
    </row>
    <row r="329" spans="6:15" x14ac:dyDescent="0.2">
      <c r="F329">
        <v>328</v>
      </c>
      <c r="G329" s="2">
        <f t="shared" si="49"/>
        <v>55365</v>
      </c>
      <c r="H329" s="4">
        <f t="shared" si="50"/>
        <v>13117.639779075067</v>
      </c>
      <c r="I329" s="4">
        <f t="shared" si="51"/>
        <v>2684.1081150606951</v>
      </c>
      <c r="J329" s="4">
        <f t="shared" si="52"/>
        <v>100</v>
      </c>
      <c r="K329" s="4">
        <f t="shared" si="54"/>
        <v>2784.1081150606951</v>
      </c>
      <c r="L329" s="4">
        <f t="shared" si="55"/>
        <v>2729.4512826478822</v>
      </c>
      <c r="M329" s="4">
        <f t="shared" si="53"/>
        <v>54.656832412812783</v>
      </c>
      <c r="N329" s="4">
        <f t="shared" si="56"/>
        <v>10388.188496427185</v>
      </c>
      <c r="O329" s="4">
        <f t="shared" si="57"/>
        <v>423575.65023633465</v>
      </c>
    </row>
    <row r="330" spans="6:15" x14ac:dyDescent="0.2">
      <c r="F330">
        <v>329</v>
      </c>
      <c r="G330" s="2">
        <f t="shared" si="49"/>
        <v>55396</v>
      </c>
      <c r="H330" s="4">
        <f t="shared" si="50"/>
        <v>10388.188496427185</v>
      </c>
      <c r="I330" s="4">
        <f t="shared" si="51"/>
        <v>2684.1081150606951</v>
      </c>
      <c r="J330" s="4">
        <f t="shared" si="52"/>
        <v>100</v>
      </c>
      <c r="K330" s="4">
        <f t="shared" si="54"/>
        <v>2784.1081150606951</v>
      </c>
      <c r="L330" s="4">
        <f t="shared" si="55"/>
        <v>2740.8239963255819</v>
      </c>
      <c r="M330" s="4">
        <f t="shared" si="53"/>
        <v>43.284118735113275</v>
      </c>
      <c r="N330" s="4">
        <f t="shared" si="56"/>
        <v>7647.364500101603</v>
      </c>
      <c r="O330" s="4">
        <f t="shared" si="57"/>
        <v>423618.93435506977</v>
      </c>
    </row>
    <row r="331" spans="6:15" x14ac:dyDescent="0.2">
      <c r="F331">
        <v>330</v>
      </c>
      <c r="G331" s="2">
        <f t="shared" si="49"/>
        <v>55426</v>
      </c>
      <c r="H331" s="4">
        <f t="shared" si="50"/>
        <v>7647.364500101603</v>
      </c>
      <c r="I331" s="4">
        <f t="shared" si="51"/>
        <v>2684.1081150606951</v>
      </c>
      <c r="J331" s="4">
        <f t="shared" si="52"/>
        <v>100</v>
      </c>
      <c r="K331" s="4">
        <f t="shared" si="54"/>
        <v>2784.1081150606951</v>
      </c>
      <c r="L331" s="4">
        <f t="shared" si="55"/>
        <v>2752.2440963102717</v>
      </c>
      <c r="M331" s="4">
        <f t="shared" si="53"/>
        <v>31.864018750423345</v>
      </c>
      <c r="N331" s="4">
        <f t="shared" si="56"/>
        <v>4895.1204037913312</v>
      </c>
      <c r="O331" s="4">
        <f t="shared" si="57"/>
        <v>423650.7983738202</v>
      </c>
    </row>
    <row r="332" spans="6:15" x14ac:dyDescent="0.2">
      <c r="F332">
        <v>331</v>
      </c>
      <c r="G332" s="2">
        <f t="shared" si="49"/>
        <v>55457</v>
      </c>
      <c r="H332" s="4">
        <f t="shared" si="50"/>
        <v>4895.1204037913312</v>
      </c>
      <c r="I332" s="4">
        <f t="shared" si="51"/>
        <v>2684.1081150606951</v>
      </c>
      <c r="J332" s="4">
        <f t="shared" si="52"/>
        <v>100</v>
      </c>
      <c r="K332" s="4">
        <f t="shared" si="54"/>
        <v>2784.1081150606951</v>
      </c>
      <c r="L332" s="4">
        <f t="shared" si="55"/>
        <v>2763.7117800448978</v>
      </c>
      <c r="M332" s="4">
        <f t="shared" si="53"/>
        <v>20.396335015797217</v>
      </c>
      <c r="N332" s="4">
        <f t="shared" si="56"/>
        <v>2131.4086237464335</v>
      </c>
      <c r="O332" s="4">
        <f t="shared" si="57"/>
        <v>423671.19470883597</v>
      </c>
    </row>
    <row r="333" spans="6:15" x14ac:dyDescent="0.2">
      <c r="F333">
        <v>332</v>
      </c>
      <c r="G333" s="2">
        <f t="shared" si="49"/>
        <v>55487</v>
      </c>
      <c r="H333" s="4">
        <f t="shared" si="50"/>
        <v>2131.4086237464335</v>
      </c>
      <c r="I333" s="4">
        <f t="shared" si="51"/>
        <v>2684.1081150606951</v>
      </c>
      <c r="J333" s="4">
        <f t="shared" si="52"/>
        <v>100</v>
      </c>
      <c r="K333" s="4">
        <f t="shared" si="54"/>
        <v>2784.1081150606951</v>
      </c>
      <c r="L333" s="4">
        <f t="shared" si="55"/>
        <v>2775.2272457950849</v>
      </c>
      <c r="M333" s="4">
        <f t="shared" si="53"/>
        <v>8.8808692656101389</v>
      </c>
      <c r="N333" s="4">
        <f t="shared" si="56"/>
        <v>0</v>
      </c>
      <c r="O333" s="4">
        <f t="shared" si="57"/>
        <v>423680.07557810156</v>
      </c>
    </row>
    <row r="334" spans="6:15" x14ac:dyDescent="0.2">
      <c r="F334">
        <v>333</v>
      </c>
      <c r="G334" s="2">
        <f t="shared" si="49"/>
        <v>55518</v>
      </c>
      <c r="H334" s="4">
        <f t="shared" si="50"/>
        <v>0</v>
      </c>
      <c r="I334" s="4">
        <f t="shared" si="51"/>
        <v>2684.1081150606951</v>
      </c>
      <c r="J334" s="4">
        <f t="shared" si="52"/>
        <v>100</v>
      </c>
      <c r="K334" s="4">
        <f t="shared" si="54"/>
        <v>2784.1081150606951</v>
      </c>
      <c r="L334" s="4">
        <f t="shared" si="55"/>
        <v>2784.1081150606951</v>
      </c>
      <c r="M334" s="4">
        <f t="shared" si="53"/>
        <v>0</v>
      </c>
      <c r="N334" s="4">
        <f t="shared" si="56"/>
        <v>0</v>
      </c>
      <c r="O334" s="4">
        <f t="shared" si="57"/>
        <v>423680.07557810156</v>
      </c>
    </row>
    <row r="335" spans="6:15" x14ac:dyDescent="0.2">
      <c r="F335">
        <v>334</v>
      </c>
      <c r="G335" s="2">
        <f t="shared" si="49"/>
        <v>55549</v>
      </c>
      <c r="H335" s="4">
        <f t="shared" si="50"/>
        <v>0</v>
      </c>
      <c r="I335" s="4">
        <f t="shared" si="51"/>
        <v>2684.1081150606951</v>
      </c>
      <c r="J335" s="4">
        <f t="shared" si="52"/>
        <v>100</v>
      </c>
      <c r="K335" s="4">
        <f t="shared" si="54"/>
        <v>2784.1081150606951</v>
      </c>
      <c r="L335" s="4">
        <f t="shared" si="55"/>
        <v>2784.1081150606951</v>
      </c>
      <c r="M335" s="4">
        <f t="shared" si="53"/>
        <v>0</v>
      </c>
      <c r="N335" s="4">
        <f t="shared" si="56"/>
        <v>0</v>
      </c>
      <c r="O335" s="4">
        <f t="shared" si="57"/>
        <v>423680.07557810156</v>
      </c>
    </row>
    <row r="336" spans="6:15" x14ac:dyDescent="0.2">
      <c r="F336">
        <v>335</v>
      </c>
      <c r="G336" s="2">
        <f t="shared" si="49"/>
        <v>55578</v>
      </c>
      <c r="H336" s="4">
        <f t="shared" si="50"/>
        <v>0</v>
      </c>
      <c r="I336" s="4">
        <f t="shared" si="51"/>
        <v>2684.1081150606951</v>
      </c>
      <c r="J336" s="4">
        <f t="shared" si="52"/>
        <v>100</v>
      </c>
      <c r="K336" s="4">
        <f t="shared" si="54"/>
        <v>2784.1081150606951</v>
      </c>
      <c r="L336" s="4">
        <f t="shared" si="55"/>
        <v>2784.1081150606951</v>
      </c>
      <c r="M336" s="4">
        <f t="shared" si="53"/>
        <v>0</v>
      </c>
      <c r="N336" s="4">
        <f t="shared" si="56"/>
        <v>0</v>
      </c>
      <c r="O336" s="4">
        <f t="shared" si="57"/>
        <v>423680.07557810156</v>
      </c>
    </row>
    <row r="337" spans="6:15" x14ac:dyDescent="0.2">
      <c r="F337">
        <v>336</v>
      </c>
      <c r="G337" s="2">
        <f t="shared" si="49"/>
        <v>55609</v>
      </c>
      <c r="H337" s="4">
        <f t="shared" si="50"/>
        <v>0</v>
      </c>
      <c r="I337" s="4">
        <f t="shared" si="51"/>
        <v>2684.1081150606951</v>
      </c>
      <c r="J337" s="4">
        <f t="shared" si="52"/>
        <v>100</v>
      </c>
      <c r="K337" s="4">
        <f t="shared" si="54"/>
        <v>2784.1081150606951</v>
      </c>
      <c r="L337" s="4">
        <f t="shared" si="55"/>
        <v>2784.1081150606951</v>
      </c>
      <c r="M337" s="4">
        <f t="shared" si="53"/>
        <v>0</v>
      </c>
      <c r="N337" s="4">
        <f t="shared" si="56"/>
        <v>0</v>
      </c>
      <c r="O337" s="4">
        <f t="shared" si="57"/>
        <v>423680.07557810156</v>
      </c>
    </row>
    <row r="338" spans="6:15" x14ac:dyDescent="0.2">
      <c r="F338">
        <v>337</v>
      </c>
      <c r="G338" s="2">
        <f t="shared" si="49"/>
        <v>55639</v>
      </c>
      <c r="H338" s="4">
        <f t="shared" si="50"/>
        <v>0</v>
      </c>
      <c r="I338" s="4">
        <f t="shared" si="51"/>
        <v>2684.1081150606951</v>
      </c>
      <c r="J338" s="4">
        <f t="shared" si="52"/>
        <v>100</v>
      </c>
      <c r="K338" s="4">
        <f t="shared" si="54"/>
        <v>2784.1081150606951</v>
      </c>
      <c r="L338" s="4">
        <f t="shared" si="55"/>
        <v>2784.1081150606951</v>
      </c>
      <c r="M338" s="4">
        <f t="shared" si="53"/>
        <v>0</v>
      </c>
      <c r="N338" s="4">
        <f t="shared" si="56"/>
        <v>0</v>
      </c>
      <c r="O338" s="4">
        <f t="shared" si="57"/>
        <v>423680.07557810156</v>
      </c>
    </row>
    <row r="339" spans="6:15" x14ac:dyDescent="0.2">
      <c r="F339">
        <v>338</v>
      </c>
      <c r="G339" s="2">
        <f t="shared" si="49"/>
        <v>55670</v>
      </c>
      <c r="H339" s="4">
        <f t="shared" si="50"/>
        <v>0</v>
      </c>
      <c r="I339" s="4">
        <f t="shared" si="51"/>
        <v>2684.1081150606951</v>
      </c>
      <c r="J339" s="4">
        <f t="shared" si="52"/>
        <v>100</v>
      </c>
      <c r="K339" s="4">
        <f t="shared" si="54"/>
        <v>2784.1081150606951</v>
      </c>
      <c r="L339" s="4">
        <f t="shared" si="55"/>
        <v>2784.1081150606951</v>
      </c>
      <c r="M339" s="4">
        <f t="shared" si="53"/>
        <v>0</v>
      </c>
      <c r="N339" s="4">
        <f t="shared" si="56"/>
        <v>0</v>
      </c>
      <c r="O339" s="4">
        <f t="shared" si="57"/>
        <v>423680.07557810156</v>
      </c>
    </row>
    <row r="340" spans="6:15" x14ac:dyDescent="0.2">
      <c r="F340">
        <v>339</v>
      </c>
      <c r="G340" s="2">
        <f t="shared" si="49"/>
        <v>55700</v>
      </c>
      <c r="H340" s="4">
        <f t="shared" si="50"/>
        <v>0</v>
      </c>
      <c r="I340" s="4">
        <f t="shared" si="51"/>
        <v>2684.1081150606951</v>
      </c>
      <c r="J340" s="4">
        <f t="shared" si="52"/>
        <v>100</v>
      </c>
      <c r="K340" s="4">
        <f t="shared" si="54"/>
        <v>2784.1081150606951</v>
      </c>
      <c r="L340" s="4">
        <f t="shared" si="55"/>
        <v>2784.1081150606951</v>
      </c>
      <c r="M340" s="4">
        <f t="shared" si="53"/>
        <v>0</v>
      </c>
      <c r="N340" s="4">
        <f t="shared" si="56"/>
        <v>0</v>
      </c>
      <c r="O340" s="4">
        <f t="shared" si="57"/>
        <v>423680.07557810156</v>
      </c>
    </row>
    <row r="341" spans="6:15" x14ac:dyDescent="0.2">
      <c r="F341">
        <v>340</v>
      </c>
      <c r="G341" s="2">
        <f t="shared" si="49"/>
        <v>55731</v>
      </c>
      <c r="H341" s="4">
        <f t="shared" si="50"/>
        <v>0</v>
      </c>
      <c r="I341" s="4">
        <f t="shared" si="51"/>
        <v>2684.1081150606951</v>
      </c>
      <c r="J341" s="4">
        <f t="shared" si="52"/>
        <v>100</v>
      </c>
      <c r="K341" s="4">
        <f t="shared" si="54"/>
        <v>2784.1081150606951</v>
      </c>
      <c r="L341" s="4">
        <f t="shared" si="55"/>
        <v>2784.1081150606951</v>
      </c>
      <c r="M341" s="4">
        <f t="shared" si="53"/>
        <v>0</v>
      </c>
      <c r="N341" s="4">
        <f t="shared" si="56"/>
        <v>0</v>
      </c>
      <c r="O341" s="4">
        <f t="shared" si="57"/>
        <v>423680.07557810156</v>
      </c>
    </row>
    <row r="342" spans="6:15" x14ac:dyDescent="0.2">
      <c r="F342">
        <v>341</v>
      </c>
      <c r="G342" s="2">
        <f t="shared" si="49"/>
        <v>55762</v>
      </c>
      <c r="H342" s="4">
        <f t="shared" si="50"/>
        <v>0</v>
      </c>
      <c r="I342" s="4">
        <f t="shared" si="51"/>
        <v>2684.1081150606951</v>
      </c>
      <c r="J342" s="4">
        <f t="shared" si="52"/>
        <v>100</v>
      </c>
      <c r="K342" s="4">
        <f t="shared" si="54"/>
        <v>2784.1081150606951</v>
      </c>
      <c r="L342" s="4">
        <f t="shared" si="55"/>
        <v>2784.1081150606951</v>
      </c>
      <c r="M342" s="4">
        <f t="shared" si="53"/>
        <v>0</v>
      </c>
      <c r="N342" s="4">
        <f t="shared" si="56"/>
        <v>0</v>
      </c>
      <c r="O342" s="4">
        <f t="shared" si="57"/>
        <v>423680.07557810156</v>
      </c>
    </row>
    <row r="343" spans="6:15" x14ac:dyDescent="0.2">
      <c r="F343">
        <v>342</v>
      </c>
      <c r="G343" s="2">
        <f t="shared" si="49"/>
        <v>55792</v>
      </c>
      <c r="H343" s="4">
        <f t="shared" si="50"/>
        <v>0</v>
      </c>
      <c r="I343" s="4">
        <f t="shared" si="51"/>
        <v>2684.1081150606951</v>
      </c>
      <c r="J343" s="4">
        <f t="shared" si="52"/>
        <v>100</v>
      </c>
      <c r="K343" s="4">
        <f t="shared" si="54"/>
        <v>2784.1081150606951</v>
      </c>
      <c r="L343" s="4">
        <f t="shared" si="55"/>
        <v>2784.1081150606951</v>
      </c>
      <c r="M343" s="4">
        <f t="shared" si="53"/>
        <v>0</v>
      </c>
      <c r="N343" s="4">
        <f t="shared" si="56"/>
        <v>0</v>
      </c>
      <c r="O343" s="4">
        <f t="shared" si="57"/>
        <v>423680.07557810156</v>
      </c>
    </row>
    <row r="344" spans="6:15" x14ac:dyDescent="0.2">
      <c r="F344">
        <v>343</v>
      </c>
      <c r="G344" s="2">
        <f t="shared" si="49"/>
        <v>55823</v>
      </c>
      <c r="H344" s="4">
        <f t="shared" si="50"/>
        <v>0</v>
      </c>
      <c r="I344" s="4">
        <f t="shared" si="51"/>
        <v>2684.1081150606951</v>
      </c>
      <c r="J344" s="4">
        <f t="shared" si="52"/>
        <v>100</v>
      </c>
      <c r="K344" s="4">
        <f t="shared" si="54"/>
        <v>2784.1081150606951</v>
      </c>
      <c r="L344" s="4">
        <f t="shared" si="55"/>
        <v>2784.1081150606951</v>
      </c>
      <c r="M344" s="4">
        <f t="shared" si="53"/>
        <v>0</v>
      </c>
      <c r="N344" s="4">
        <f t="shared" si="56"/>
        <v>0</v>
      </c>
      <c r="O344" s="4">
        <f t="shared" si="57"/>
        <v>423680.07557810156</v>
      </c>
    </row>
    <row r="345" spans="6:15" x14ac:dyDescent="0.2">
      <c r="F345">
        <v>344</v>
      </c>
      <c r="G345" s="2">
        <f t="shared" si="49"/>
        <v>55853</v>
      </c>
      <c r="H345" s="4">
        <f t="shared" si="50"/>
        <v>0</v>
      </c>
      <c r="I345" s="4">
        <f t="shared" si="51"/>
        <v>2684.1081150606951</v>
      </c>
      <c r="J345" s="4">
        <f t="shared" si="52"/>
        <v>100</v>
      </c>
      <c r="K345" s="4">
        <f t="shared" si="54"/>
        <v>2784.1081150606951</v>
      </c>
      <c r="L345" s="4">
        <f t="shared" si="55"/>
        <v>2784.1081150606951</v>
      </c>
      <c r="M345" s="4">
        <f t="shared" si="53"/>
        <v>0</v>
      </c>
      <c r="N345" s="4">
        <f t="shared" si="56"/>
        <v>0</v>
      </c>
      <c r="O345" s="4">
        <f t="shared" si="57"/>
        <v>423680.07557810156</v>
      </c>
    </row>
    <row r="346" spans="6:15" x14ac:dyDescent="0.2">
      <c r="F346">
        <v>345</v>
      </c>
      <c r="G346" s="2">
        <f t="shared" si="49"/>
        <v>55884</v>
      </c>
      <c r="H346" s="4">
        <f t="shared" si="50"/>
        <v>0</v>
      </c>
      <c r="I346" s="4">
        <f t="shared" si="51"/>
        <v>2684.1081150606951</v>
      </c>
      <c r="J346" s="4">
        <f t="shared" si="52"/>
        <v>100</v>
      </c>
      <c r="K346" s="4">
        <f t="shared" si="54"/>
        <v>2784.1081150606951</v>
      </c>
      <c r="L346" s="4">
        <f t="shared" si="55"/>
        <v>2784.1081150606951</v>
      </c>
      <c r="M346" s="4">
        <f t="shared" si="53"/>
        <v>0</v>
      </c>
      <c r="N346" s="4">
        <f t="shared" si="56"/>
        <v>0</v>
      </c>
      <c r="O346" s="4">
        <f t="shared" si="57"/>
        <v>423680.07557810156</v>
      </c>
    </row>
    <row r="347" spans="6:15" x14ac:dyDescent="0.2">
      <c r="F347">
        <v>346</v>
      </c>
      <c r="G347" s="2">
        <f t="shared" si="49"/>
        <v>55915</v>
      </c>
      <c r="H347" s="4">
        <f t="shared" si="50"/>
        <v>0</v>
      </c>
      <c r="I347" s="4">
        <f t="shared" si="51"/>
        <v>2684.1081150606951</v>
      </c>
      <c r="J347" s="4">
        <f t="shared" si="52"/>
        <v>100</v>
      </c>
      <c r="K347" s="4">
        <f t="shared" si="54"/>
        <v>2784.1081150606951</v>
      </c>
      <c r="L347" s="4">
        <f t="shared" si="55"/>
        <v>2784.1081150606951</v>
      </c>
      <c r="M347" s="4">
        <f t="shared" si="53"/>
        <v>0</v>
      </c>
      <c r="N347" s="4">
        <f t="shared" si="56"/>
        <v>0</v>
      </c>
      <c r="O347" s="4">
        <f t="shared" si="57"/>
        <v>423680.07557810156</v>
      </c>
    </row>
    <row r="348" spans="6:15" x14ac:dyDescent="0.2">
      <c r="F348">
        <v>347</v>
      </c>
      <c r="G348" s="2">
        <f t="shared" si="49"/>
        <v>55943</v>
      </c>
      <c r="H348" s="4">
        <f t="shared" si="50"/>
        <v>0</v>
      </c>
      <c r="I348" s="4">
        <f t="shared" si="51"/>
        <v>2684.1081150606951</v>
      </c>
      <c r="J348" s="4">
        <f t="shared" si="52"/>
        <v>100</v>
      </c>
      <c r="K348" s="4">
        <f t="shared" si="54"/>
        <v>2784.1081150606951</v>
      </c>
      <c r="L348" s="4">
        <f t="shared" si="55"/>
        <v>2784.1081150606951</v>
      </c>
      <c r="M348" s="4">
        <f t="shared" si="53"/>
        <v>0</v>
      </c>
      <c r="N348" s="4">
        <f t="shared" si="56"/>
        <v>0</v>
      </c>
      <c r="O348" s="4">
        <f t="shared" si="57"/>
        <v>423680.07557810156</v>
      </c>
    </row>
    <row r="349" spans="6:15" x14ac:dyDescent="0.2">
      <c r="F349">
        <v>348</v>
      </c>
      <c r="G349" s="2">
        <f t="shared" si="49"/>
        <v>55974</v>
      </c>
      <c r="H349" s="4">
        <f t="shared" si="50"/>
        <v>0</v>
      </c>
      <c r="I349" s="4">
        <f t="shared" si="51"/>
        <v>2684.1081150606951</v>
      </c>
      <c r="J349" s="4">
        <f t="shared" si="52"/>
        <v>100</v>
      </c>
      <c r="K349" s="4">
        <f t="shared" si="54"/>
        <v>2784.1081150606951</v>
      </c>
      <c r="L349" s="4">
        <f t="shared" si="55"/>
        <v>2784.1081150606951</v>
      </c>
      <c r="M349" s="4">
        <f t="shared" si="53"/>
        <v>0</v>
      </c>
      <c r="N349" s="4">
        <f t="shared" si="56"/>
        <v>0</v>
      </c>
      <c r="O349" s="4">
        <f t="shared" si="57"/>
        <v>423680.07557810156</v>
      </c>
    </row>
    <row r="350" spans="6:15" x14ac:dyDescent="0.2">
      <c r="F350">
        <v>349</v>
      </c>
      <c r="G350" s="2">
        <f t="shared" si="49"/>
        <v>56004</v>
      </c>
      <c r="H350" s="4">
        <f t="shared" si="50"/>
        <v>0</v>
      </c>
      <c r="I350" s="4">
        <f t="shared" si="51"/>
        <v>2684.1081150606951</v>
      </c>
      <c r="J350" s="4">
        <f t="shared" si="52"/>
        <v>100</v>
      </c>
      <c r="K350" s="4">
        <f t="shared" si="54"/>
        <v>2784.1081150606951</v>
      </c>
      <c r="L350" s="4">
        <f t="shared" si="55"/>
        <v>2784.1081150606951</v>
      </c>
      <c r="M350" s="4">
        <f t="shared" si="53"/>
        <v>0</v>
      </c>
      <c r="N350" s="4">
        <f t="shared" si="56"/>
        <v>0</v>
      </c>
      <c r="O350" s="4">
        <f t="shared" si="57"/>
        <v>423680.07557810156</v>
      </c>
    </row>
    <row r="351" spans="6:15" x14ac:dyDescent="0.2">
      <c r="F351">
        <v>350</v>
      </c>
      <c r="G351" s="2">
        <f t="shared" si="49"/>
        <v>56035</v>
      </c>
      <c r="H351" s="4">
        <f t="shared" si="50"/>
        <v>0</v>
      </c>
      <c r="I351" s="4">
        <f t="shared" si="51"/>
        <v>2684.1081150606951</v>
      </c>
      <c r="J351" s="4">
        <f t="shared" si="52"/>
        <v>100</v>
      </c>
      <c r="K351" s="4">
        <f t="shared" si="54"/>
        <v>2784.1081150606951</v>
      </c>
      <c r="L351" s="4">
        <f t="shared" si="55"/>
        <v>2784.1081150606951</v>
      </c>
      <c r="M351" s="4">
        <f t="shared" si="53"/>
        <v>0</v>
      </c>
      <c r="N351" s="4">
        <f t="shared" si="56"/>
        <v>0</v>
      </c>
      <c r="O351" s="4">
        <f t="shared" si="57"/>
        <v>423680.07557810156</v>
      </c>
    </row>
    <row r="352" spans="6:15" x14ac:dyDescent="0.2">
      <c r="F352">
        <v>351</v>
      </c>
      <c r="G352" s="2">
        <f t="shared" si="49"/>
        <v>56065</v>
      </c>
      <c r="H352" s="4">
        <f t="shared" si="50"/>
        <v>0</v>
      </c>
      <c r="I352" s="4">
        <f t="shared" si="51"/>
        <v>2684.1081150606951</v>
      </c>
      <c r="J352" s="4">
        <f t="shared" si="52"/>
        <v>100</v>
      </c>
      <c r="K352" s="4">
        <f t="shared" si="54"/>
        <v>2784.1081150606951</v>
      </c>
      <c r="L352" s="4">
        <f t="shared" si="55"/>
        <v>2784.1081150606951</v>
      </c>
      <c r="M352" s="4">
        <f t="shared" si="53"/>
        <v>0</v>
      </c>
      <c r="N352" s="4">
        <f t="shared" si="56"/>
        <v>0</v>
      </c>
      <c r="O352" s="4">
        <f t="shared" si="57"/>
        <v>423680.07557810156</v>
      </c>
    </row>
    <row r="353" spans="6:15" x14ac:dyDescent="0.2">
      <c r="F353">
        <v>352</v>
      </c>
      <c r="G353" s="2">
        <f t="shared" si="49"/>
        <v>56096</v>
      </c>
      <c r="H353" s="4">
        <f t="shared" si="50"/>
        <v>0</v>
      </c>
      <c r="I353" s="4">
        <f t="shared" si="51"/>
        <v>2684.1081150606951</v>
      </c>
      <c r="J353" s="4">
        <f t="shared" si="52"/>
        <v>100</v>
      </c>
      <c r="K353" s="4">
        <f t="shared" si="54"/>
        <v>2784.1081150606951</v>
      </c>
      <c r="L353" s="4">
        <f t="shared" si="55"/>
        <v>2784.1081150606951</v>
      </c>
      <c r="M353" s="4">
        <f t="shared" si="53"/>
        <v>0</v>
      </c>
      <c r="N353" s="4">
        <f t="shared" si="56"/>
        <v>0</v>
      </c>
      <c r="O353" s="4">
        <f t="shared" si="57"/>
        <v>423680.07557810156</v>
      </c>
    </row>
    <row r="354" spans="6:15" x14ac:dyDescent="0.2">
      <c r="F354">
        <v>353</v>
      </c>
      <c r="G354" s="2">
        <f t="shared" si="49"/>
        <v>56127</v>
      </c>
      <c r="H354" s="4">
        <f t="shared" si="50"/>
        <v>0</v>
      </c>
      <c r="I354" s="4">
        <f t="shared" si="51"/>
        <v>2684.1081150606951</v>
      </c>
      <c r="J354" s="4">
        <f t="shared" si="52"/>
        <v>100</v>
      </c>
      <c r="K354" s="4">
        <f t="shared" si="54"/>
        <v>2784.1081150606951</v>
      </c>
      <c r="L354" s="4">
        <f t="shared" si="55"/>
        <v>2784.1081150606951</v>
      </c>
      <c r="M354" s="4">
        <f t="shared" si="53"/>
        <v>0</v>
      </c>
      <c r="N354" s="4">
        <f t="shared" si="56"/>
        <v>0</v>
      </c>
      <c r="O354" s="4">
        <f t="shared" si="57"/>
        <v>423680.07557810156</v>
      </c>
    </row>
    <row r="355" spans="6:15" x14ac:dyDescent="0.2">
      <c r="F355">
        <v>354</v>
      </c>
      <c r="G355" s="2">
        <f t="shared" si="49"/>
        <v>56157</v>
      </c>
      <c r="H355" s="4">
        <f t="shared" si="50"/>
        <v>0</v>
      </c>
      <c r="I355" s="4">
        <f t="shared" si="51"/>
        <v>2684.1081150606951</v>
      </c>
      <c r="J355" s="4">
        <f t="shared" si="52"/>
        <v>100</v>
      </c>
      <c r="K355" s="4">
        <f t="shared" si="54"/>
        <v>2784.1081150606951</v>
      </c>
      <c r="L355" s="4">
        <f t="shared" si="55"/>
        <v>2784.1081150606951</v>
      </c>
      <c r="M355" s="4">
        <f t="shared" si="53"/>
        <v>0</v>
      </c>
      <c r="N355" s="4">
        <f t="shared" si="56"/>
        <v>0</v>
      </c>
      <c r="O355" s="4">
        <f t="shared" si="57"/>
        <v>423680.07557810156</v>
      </c>
    </row>
    <row r="356" spans="6:15" x14ac:dyDescent="0.2">
      <c r="F356">
        <v>355</v>
      </c>
      <c r="G356" s="2">
        <f t="shared" si="49"/>
        <v>56188</v>
      </c>
      <c r="H356" s="4">
        <f t="shared" si="50"/>
        <v>0</v>
      </c>
      <c r="I356" s="4">
        <f t="shared" si="51"/>
        <v>2684.1081150606951</v>
      </c>
      <c r="J356" s="4">
        <f t="shared" si="52"/>
        <v>100</v>
      </c>
      <c r="K356" s="4">
        <f t="shared" si="54"/>
        <v>2784.1081150606951</v>
      </c>
      <c r="L356" s="4">
        <f t="shared" si="55"/>
        <v>2784.1081150606951</v>
      </c>
      <c r="M356" s="4">
        <f t="shared" si="53"/>
        <v>0</v>
      </c>
      <c r="N356" s="4">
        <f t="shared" si="56"/>
        <v>0</v>
      </c>
      <c r="O356" s="4">
        <f t="shared" si="57"/>
        <v>423680.07557810156</v>
      </c>
    </row>
    <row r="357" spans="6:15" x14ac:dyDescent="0.2">
      <c r="F357">
        <v>356</v>
      </c>
      <c r="G357" s="2">
        <f t="shared" si="49"/>
        <v>56218</v>
      </c>
      <c r="H357" s="4">
        <f t="shared" si="50"/>
        <v>0</v>
      </c>
      <c r="I357" s="4">
        <f t="shared" si="51"/>
        <v>2684.1081150606951</v>
      </c>
      <c r="J357" s="4">
        <f t="shared" si="52"/>
        <v>100</v>
      </c>
      <c r="K357" s="4">
        <f t="shared" si="54"/>
        <v>2784.1081150606951</v>
      </c>
      <c r="L357" s="4">
        <f t="shared" si="55"/>
        <v>2784.1081150606951</v>
      </c>
      <c r="M357" s="4">
        <f t="shared" si="53"/>
        <v>0</v>
      </c>
      <c r="N357" s="4">
        <f t="shared" si="56"/>
        <v>0</v>
      </c>
      <c r="O357" s="4">
        <f t="shared" si="57"/>
        <v>423680.07557810156</v>
      </c>
    </row>
    <row r="358" spans="6:15" x14ac:dyDescent="0.2">
      <c r="F358">
        <v>357</v>
      </c>
      <c r="G358" s="2">
        <f t="shared" si="49"/>
        <v>56249</v>
      </c>
      <c r="H358" s="4">
        <f t="shared" si="50"/>
        <v>0</v>
      </c>
      <c r="I358" s="4">
        <f t="shared" si="51"/>
        <v>2684.1081150606951</v>
      </c>
      <c r="J358" s="4">
        <f t="shared" si="52"/>
        <v>100</v>
      </c>
      <c r="K358" s="4">
        <f t="shared" si="54"/>
        <v>2784.1081150606951</v>
      </c>
      <c r="L358" s="4">
        <f t="shared" si="55"/>
        <v>2784.1081150606951</v>
      </c>
      <c r="M358" s="4">
        <f t="shared" si="53"/>
        <v>0</v>
      </c>
      <c r="N358" s="4">
        <f t="shared" si="56"/>
        <v>0</v>
      </c>
      <c r="O358" s="4">
        <f t="shared" si="57"/>
        <v>423680.07557810156</v>
      </c>
    </row>
    <row r="359" spans="6:15" x14ac:dyDescent="0.2">
      <c r="F359">
        <v>358</v>
      </c>
      <c r="G359" s="2">
        <f t="shared" si="49"/>
        <v>56280</v>
      </c>
      <c r="H359" s="4">
        <f t="shared" si="50"/>
        <v>0</v>
      </c>
      <c r="I359" s="4">
        <f t="shared" si="51"/>
        <v>2684.1081150606951</v>
      </c>
      <c r="J359" s="4">
        <f t="shared" si="52"/>
        <v>100</v>
      </c>
      <c r="K359" s="4">
        <f t="shared" si="54"/>
        <v>2784.1081150606951</v>
      </c>
      <c r="L359" s="4">
        <f t="shared" si="55"/>
        <v>2784.1081150606951</v>
      </c>
      <c r="M359" s="4">
        <f t="shared" si="53"/>
        <v>0</v>
      </c>
      <c r="N359" s="4">
        <f t="shared" si="56"/>
        <v>0</v>
      </c>
      <c r="O359" s="4">
        <f t="shared" si="57"/>
        <v>423680.07557810156</v>
      </c>
    </row>
    <row r="360" spans="6:15" x14ac:dyDescent="0.2">
      <c r="F360">
        <v>359</v>
      </c>
      <c r="G360" s="2">
        <f t="shared" si="49"/>
        <v>56308</v>
      </c>
      <c r="H360" s="4">
        <f t="shared" si="50"/>
        <v>0</v>
      </c>
      <c r="I360" s="4">
        <f t="shared" si="51"/>
        <v>2684.1081150606951</v>
      </c>
      <c r="J360" s="4">
        <f t="shared" si="52"/>
        <v>100</v>
      </c>
      <c r="K360" s="4">
        <f t="shared" si="54"/>
        <v>2784.1081150606951</v>
      </c>
      <c r="L360" s="4">
        <f t="shared" si="55"/>
        <v>2784.1081150606951</v>
      </c>
      <c r="M360" s="4">
        <f t="shared" si="53"/>
        <v>0</v>
      </c>
      <c r="N360" s="4">
        <f t="shared" si="56"/>
        <v>0</v>
      </c>
      <c r="O360" s="4">
        <f t="shared" si="57"/>
        <v>423680.07557810156</v>
      </c>
    </row>
    <row r="361" spans="6:15" x14ac:dyDescent="0.2">
      <c r="F361">
        <v>360</v>
      </c>
      <c r="G361" s="2">
        <f t="shared" si="49"/>
        <v>56339</v>
      </c>
      <c r="H361" s="4">
        <f t="shared" si="50"/>
        <v>0</v>
      </c>
      <c r="I361" s="4">
        <f t="shared" si="51"/>
        <v>2684.1081150606951</v>
      </c>
      <c r="J361" s="4">
        <f t="shared" si="52"/>
        <v>100</v>
      </c>
      <c r="K361" s="4">
        <f t="shared" si="54"/>
        <v>2784.1081150606951</v>
      </c>
      <c r="L361" s="4">
        <f t="shared" si="55"/>
        <v>2784.1081150606951</v>
      </c>
      <c r="M361" s="4">
        <f t="shared" si="53"/>
        <v>0</v>
      </c>
      <c r="N361" s="4">
        <f t="shared" si="56"/>
        <v>0</v>
      </c>
      <c r="O361" s="4">
        <f t="shared" si="57"/>
        <v>423680.07557810156</v>
      </c>
    </row>
    <row r="362" spans="6:15" x14ac:dyDescent="0.2">
      <c r="F362" t="s">
        <v>24</v>
      </c>
      <c r="G362" s="2" t="str">
        <f t="shared" si="49"/>
        <v/>
      </c>
      <c r="H362" s="4" t="str">
        <f t="shared" si="50"/>
        <v/>
      </c>
      <c r="I362" s="4" t="str">
        <f t="shared" si="51"/>
        <v/>
      </c>
      <c r="J362" s="4" t="str">
        <f t="shared" si="52"/>
        <v/>
      </c>
      <c r="K362" s="4" t="str">
        <f t="shared" si="54"/>
        <v/>
      </c>
      <c r="L362" s="4" t="str">
        <f t="shared" si="55"/>
        <v/>
      </c>
      <c r="M362" s="4" t="str">
        <f t="shared" si="53"/>
        <v/>
      </c>
      <c r="N362" s="4" t="str">
        <f t="shared" si="56"/>
        <v/>
      </c>
      <c r="O362" s="4" t="str">
        <f t="shared" si="57"/>
        <v/>
      </c>
    </row>
    <row r="363" spans="6:15" x14ac:dyDescent="0.2">
      <c r="F363" t="s">
        <v>24</v>
      </c>
      <c r="G363" s="2" t="str">
        <f t="shared" si="49"/>
        <v/>
      </c>
      <c r="H363" s="4" t="str">
        <f t="shared" si="50"/>
        <v/>
      </c>
      <c r="I363" s="4" t="str">
        <f t="shared" si="51"/>
        <v/>
      </c>
      <c r="J363" s="4" t="str">
        <f t="shared" si="52"/>
        <v/>
      </c>
      <c r="K363" s="4" t="str">
        <f t="shared" si="54"/>
        <v/>
      </c>
      <c r="L363" s="4" t="str">
        <f t="shared" si="55"/>
        <v/>
      </c>
      <c r="M363" s="4" t="str">
        <f t="shared" si="53"/>
        <v/>
      </c>
      <c r="N363" s="4" t="str">
        <f t="shared" si="56"/>
        <v/>
      </c>
      <c r="O363" s="4" t="str">
        <f t="shared" si="57"/>
        <v/>
      </c>
    </row>
    <row r="364" spans="6:15" x14ac:dyDescent="0.2">
      <c r="F364" t="s">
        <v>24</v>
      </c>
      <c r="G364" s="2" t="str">
        <f t="shared" si="49"/>
        <v/>
      </c>
      <c r="H364" s="4" t="str">
        <f t="shared" si="50"/>
        <v/>
      </c>
      <c r="I364" s="4" t="str">
        <f t="shared" si="51"/>
        <v/>
      </c>
      <c r="J364" s="4" t="str">
        <f t="shared" si="52"/>
        <v/>
      </c>
      <c r="K364" s="4" t="str">
        <f t="shared" si="54"/>
        <v/>
      </c>
      <c r="L364" s="4" t="str">
        <f t="shared" si="55"/>
        <v/>
      </c>
      <c r="M364" s="4" t="str">
        <f t="shared" si="53"/>
        <v/>
      </c>
      <c r="N364" s="4" t="str">
        <f t="shared" si="56"/>
        <v/>
      </c>
      <c r="O364" s="4" t="str">
        <f t="shared" si="57"/>
        <v/>
      </c>
    </row>
    <row r="365" spans="6:15" x14ac:dyDescent="0.2">
      <c r="F365" t="s">
        <v>24</v>
      </c>
      <c r="G365" s="2" t="str">
        <f t="shared" si="49"/>
        <v/>
      </c>
      <c r="H365" s="4" t="str">
        <f t="shared" si="50"/>
        <v/>
      </c>
      <c r="I365" s="4" t="str">
        <f t="shared" si="51"/>
        <v/>
      </c>
      <c r="J365" s="4" t="str">
        <f t="shared" si="52"/>
        <v/>
      </c>
      <c r="K365" s="4" t="str">
        <f t="shared" si="54"/>
        <v/>
      </c>
      <c r="L365" s="4" t="str">
        <f t="shared" si="55"/>
        <v/>
      </c>
      <c r="M365" s="4" t="str">
        <f t="shared" si="53"/>
        <v/>
      </c>
      <c r="N365" s="4" t="str">
        <f t="shared" si="56"/>
        <v/>
      </c>
      <c r="O365" s="4" t="str">
        <f t="shared" si="57"/>
        <v/>
      </c>
    </row>
    <row r="366" spans="6:15" x14ac:dyDescent="0.2">
      <c r="F366" t="s">
        <v>24</v>
      </c>
      <c r="G366" s="2" t="str">
        <f t="shared" si="49"/>
        <v/>
      </c>
      <c r="H366" s="4" t="str">
        <f t="shared" si="50"/>
        <v/>
      </c>
      <c r="I366" s="4" t="str">
        <f t="shared" si="51"/>
        <v/>
      </c>
      <c r="J366" s="4" t="str">
        <f t="shared" si="52"/>
        <v/>
      </c>
      <c r="K366" s="4" t="str">
        <f t="shared" si="54"/>
        <v/>
      </c>
      <c r="L366" s="4" t="str">
        <f t="shared" si="55"/>
        <v/>
      </c>
      <c r="M366" s="4" t="str">
        <f t="shared" si="53"/>
        <v/>
      </c>
      <c r="N366" s="4" t="str">
        <f t="shared" si="56"/>
        <v/>
      </c>
      <c r="O366" s="4" t="str">
        <f t="shared" si="57"/>
        <v/>
      </c>
    </row>
    <row r="367" spans="6:15" x14ac:dyDescent="0.2">
      <c r="F367" t="s">
        <v>24</v>
      </c>
      <c r="G367" s="2" t="str">
        <f t="shared" si="49"/>
        <v/>
      </c>
      <c r="H367" s="4" t="str">
        <f t="shared" si="50"/>
        <v/>
      </c>
      <c r="I367" s="4" t="str">
        <f t="shared" si="51"/>
        <v/>
      </c>
      <c r="J367" s="4" t="str">
        <f t="shared" si="52"/>
        <v/>
      </c>
      <c r="K367" s="4" t="str">
        <f t="shared" si="54"/>
        <v/>
      </c>
      <c r="L367" s="4" t="str">
        <f t="shared" si="55"/>
        <v/>
      </c>
      <c r="M367" s="4" t="str">
        <f t="shared" si="53"/>
        <v/>
      </c>
      <c r="N367" s="4" t="str">
        <f t="shared" si="56"/>
        <v/>
      </c>
      <c r="O367" s="4" t="str">
        <f t="shared" si="57"/>
        <v/>
      </c>
    </row>
    <row r="368" spans="6:15" x14ac:dyDescent="0.2">
      <c r="F368" t="s">
        <v>24</v>
      </c>
      <c r="G368" s="2" t="str">
        <f t="shared" si="49"/>
        <v/>
      </c>
      <c r="H368" s="4" t="str">
        <f t="shared" si="50"/>
        <v/>
      </c>
      <c r="I368" s="4" t="str">
        <f t="shared" si="51"/>
        <v/>
      </c>
      <c r="J368" s="4" t="str">
        <f t="shared" si="52"/>
        <v/>
      </c>
      <c r="K368" s="4" t="str">
        <f t="shared" si="54"/>
        <v/>
      </c>
      <c r="L368" s="4" t="str">
        <f t="shared" si="55"/>
        <v/>
      </c>
      <c r="M368" s="4" t="str">
        <f t="shared" si="53"/>
        <v/>
      </c>
      <c r="N368" s="4" t="str">
        <f t="shared" si="56"/>
        <v/>
      </c>
      <c r="O368" s="4" t="str">
        <f t="shared" si="57"/>
        <v/>
      </c>
    </row>
    <row r="369" spans="6:15" x14ac:dyDescent="0.2">
      <c r="F369" t="s">
        <v>24</v>
      </c>
      <c r="G369" s="2" t="str">
        <f t="shared" si="49"/>
        <v/>
      </c>
      <c r="H369" s="4" t="str">
        <f t="shared" si="50"/>
        <v/>
      </c>
      <c r="I369" s="4" t="str">
        <f t="shared" si="51"/>
        <v/>
      </c>
      <c r="J369" s="4" t="str">
        <f t="shared" si="52"/>
        <v/>
      </c>
      <c r="K369" s="4" t="str">
        <f t="shared" si="54"/>
        <v/>
      </c>
      <c r="L369" s="4" t="str">
        <f t="shared" si="55"/>
        <v/>
      </c>
      <c r="M369" s="4" t="str">
        <f t="shared" si="53"/>
        <v/>
      </c>
      <c r="N369" s="4" t="str">
        <f t="shared" si="56"/>
        <v/>
      </c>
      <c r="O369" s="4" t="str">
        <f t="shared" si="57"/>
        <v/>
      </c>
    </row>
    <row r="370" spans="6:15" x14ac:dyDescent="0.2">
      <c r="F370" t="s">
        <v>24</v>
      </c>
      <c r="G370" s="2" t="str">
        <f t="shared" si="49"/>
        <v/>
      </c>
      <c r="H370" s="4" t="str">
        <f t="shared" si="50"/>
        <v/>
      </c>
      <c r="I370" s="4" t="str">
        <f t="shared" si="51"/>
        <v/>
      </c>
      <c r="J370" s="4" t="str">
        <f t="shared" si="52"/>
        <v/>
      </c>
      <c r="K370" s="4" t="str">
        <f t="shared" si="54"/>
        <v/>
      </c>
      <c r="L370" s="4" t="str">
        <f t="shared" si="55"/>
        <v/>
      </c>
      <c r="M370" s="4" t="str">
        <f t="shared" si="53"/>
        <v/>
      </c>
      <c r="N370" s="4" t="str">
        <f t="shared" si="56"/>
        <v/>
      </c>
      <c r="O370" s="4" t="str">
        <f t="shared" si="57"/>
        <v/>
      </c>
    </row>
    <row r="371" spans="6:15" x14ac:dyDescent="0.2">
      <c r="F371" t="s">
        <v>24</v>
      </c>
      <c r="G371" s="2" t="str">
        <f t="shared" si="49"/>
        <v/>
      </c>
      <c r="H371" s="4" t="str">
        <f t="shared" si="50"/>
        <v/>
      </c>
      <c r="I371" s="4" t="str">
        <f t="shared" si="51"/>
        <v/>
      </c>
      <c r="J371" s="4" t="str">
        <f t="shared" si="52"/>
        <v/>
      </c>
      <c r="K371" s="4" t="str">
        <f t="shared" si="54"/>
        <v/>
      </c>
      <c r="L371" s="4" t="str">
        <f t="shared" si="55"/>
        <v/>
      </c>
      <c r="M371" s="4" t="str">
        <f t="shared" si="53"/>
        <v/>
      </c>
      <c r="N371" s="4" t="str">
        <f t="shared" si="56"/>
        <v/>
      </c>
      <c r="O371" s="4" t="str">
        <f t="shared" si="57"/>
        <v/>
      </c>
    </row>
    <row r="372" spans="6:15" x14ac:dyDescent="0.2">
      <c r="F372" t="s">
        <v>24</v>
      </c>
      <c r="G372" s="2" t="str">
        <f t="shared" si="49"/>
        <v/>
      </c>
      <c r="H372" s="4" t="str">
        <f t="shared" si="50"/>
        <v/>
      </c>
      <c r="I372" s="4" t="str">
        <f t="shared" si="51"/>
        <v/>
      </c>
      <c r="J372" s="4" t="str">
        <f t="shared" si="52"/>
        <v/>
      </c>
      <c r="K372" s="4" t="str">
        <f t="shared" si="54"/>
        <v/>
      </c>
      <c r="L372" s="4" t="str">
        <f t="shared" si="55"/>
        <v/>
      </c>
      <c r="M372" s="4" t="str">
        <f t="shared" si="53"/>
        <v/>
      </c>
      <c r="N372" s="4" t="str">
        <f t="shared" si="56"/>
        <v/>
      </c>
      <c r="O372" s="4" t="str">
        <f t="shared" si="57"/>
        <v/>
      </c>
    </row>
    <row r="373" spans="6:15" x14ac:dyDescent="0.2">
      <c r="F373" t="s">
        <v>24</v>
      </c>
      <c r="G373" s="2" t="str">
        <f t="shared" si="49"/>
        <v/>
      </c>
      <c r="H373" s="4" t="str">
        <f t="shared" si="50"/>
        <v/>
      </c>
      <c r="I373" s="4" t="str">
        <f t="shared" si="51"/>
        <v/>
      </c>
      <c r="J373" s="4" t="str">
        <f t="shared" si="52"/>
        <v/>
      </c>
      <c r="K373" s="4" t="str">
        <f t="shared" si="54"/>
        <v/>
      </c>
      <c r="L373" s="4" t="str">
        <f t="shared" si="55"/>
        <v/>
      </c>
      <c r="M373" s="4" t="str">
        <f t="shared" si="53"/>
        <v/>
      </c>
      <c r="N373" s="4" t="str">
        <f t="shared" si="56"/>
        <v/>
      </c>
      <c r="O373" s="4" t="str">
        <f t="shared" si="57"/>
        <v/>
      </c>
    </row>
    <row r="374" spans="6:15" x14ac:dyDescent="0.2">
      <c r="F374" t="s">
        <v>24</v>
      </c>
      <c r="G374" s="2" t="str">
        <f t="shared" si="49"/>
        <v/>
      </c>
      <c r="H374" s="4" t="str">
        <f t="shared" si="50"/>
        <v/>
      </c>
      <c r="I374" s="4" t="str">
        <f t="shared" si="51"/>
        <v/>
      </c>
      <c r="J374" s="4" t="str">
        <f t="shared" si="52"/>
        <v/>
      </c>
      <c r="K374" s="4" t="str">
        <f t="shared" si="54"/>
        <v/>
      </c>
      <c r="L374" s="4" t="str">
        <f t="shared" si="55"/>
        <v/>
      </c>
      <c r="M374" s="4" t="str">
        <f t="shared" si="53"/>
        <v/>
      </c>
      <c r="N374" s="4" t="str">
        <f t="shared" si="56"/>
        <v/>
      </c>
      <c r="O374" s="4" t="str">
        <f t="shared" si="57"/>
        <v/>
      </c>
    </row>
    <row r="375" spans="6:15" x14ac:dyDescent="0.2">
      <c r="F375" t="s">
        <v>24</v>
      </c>
      <c r="G375" s="2" t="str">
        <f t="shared" si="49"/>
        <v/>
      </c>
      <c r="H375" s="4" t="str">
        <f t="shared" si="50"/>
        <v/>
      </c>
      <c r="I375" s="4" t="str">
        <f t="shared" si="51"/>
        <v/>
      </c>
      <c r="J375" s="4" t="str">
        <f t="shared" si="52"/>
        <v/>
      </c>
      <c r="K375" s="4" t="str">
        <f t="shared" si="54"/>
        <v/>
      </c>
      <c r="L375" s="4" t="str">
        <f t="shared" si="55"/>
        <v/>
      </c>
      <c r="M375" s="4" t="str">
        <f t="shared" si="53"/>
        <v/>
      </c>
      <c r="N375" s="4" t="str">
        <f t="shared" si="56"/>
        <v/>
      </c>
      <c r="O375" s="4" t="str">
        <f t="shared" si="57"/>
        <v/>
      </c>
    </row>
    <row r="376" spans="6:15" x14ac:dyDescent="0.2">
      <c r="F376" t="s">
        <v>24</v>
      </c>
      <c r="G376" s="2" t="str">
        <f t="shared" si="49"/>
        <v/>
      </c>
      <c r="H376" s="4" t="str">
        <f t="shared" si="50"/>
        <v/>
      </c>
      <c r="I376" s="4" t="str">
        <f t="shared" si="51"/>
        <v/>
      </c>
      <c r="J376" s="4" t="str">
        <f t="shared" si="52"/>
        <v/>
      </c>
      <c r="K376" s="4" t="str">
        <f t="shared" si="54"/>
        <v/>
      </c>
      <c r="L376" s="4" t="str">
        <f t="shared" si="55"/>
        <v/>
      </c>
      <c r="M376" s="4" t="str">
        <f t="shared" si="53"/>
        <v/>
      </c>
      <c r="N376" s="4" t="str">
        <f t="shared" si="56"/>
        <v/>
      </c>
      <c r="O376" s="4" t="str">
        <f t="shared" si="57"/>
        <v/>
      </c>
    </row>
    <row r="377" spans="6:15" x14ac:dyDescent="0.2">
      <c r="F377" t="s">
        <v>24</v>
      </c>
      <c r="G377" s="2" t="str">
        <f t="shared" si="49"/>
        <v/>
      </c>
      <c r="H377" s="4" t="str">
        <f t="shared" si="50"/>
        <v/>
      </c>
      <c r="I377" s="4" t="str">
        <f t="shared" si="51"/>
        <v/>
      </c>
      <c r="J377" s="4" t="str">
        <f t="shared" si="52"/>
        <v/>
      </c>
      <c r="K377" s="4" t="str">
        <f t="shared" si="54"/>
        <v/>
      </c>
      <c r="L377" s="4" t="str">
        <f t="shared" si="55"/>
        <v/>
      </c>
      <c r="M377" s="4" t="str">
        <f t="shared" si="53"/>
        <v/>
      </c>
      <c r="N377" s="4" t="str">
        <f t="shared" si="56"/>
        <v/>
      </c>
      <c r="O377" s="4" t="str">
        <f t="shared" si="57"/>
        <v/>
      </c>
    </row>
    <row r="378" spans="6:15" x14ac:dyDescent="0.2">
      <c r="F378" t="s">
        <v>24</v>
      </c>
      <c r="G378" s="2" t="str">
        <f t="shared" si="49"/>
        <v/>
      </c>
      <c r="H378" s="4" t="str">
        <f t="shared" si="50"/>
        <v/>
      </c>
      <c r="I378" s="4" t="str">
        <f t="shared" si="51"/>
        <v/>
      </c>
      <c r="J378" s="4" t="str">
        <f t="shared" si="52"/>
        <v/>
      </c>
      <c r="K378" s="4" t="str">
        <f t="shared" si="54"/>
        <v/>
      </c>
      <c r="L378" s="4" t="str">
        <f t="shared" si="55"/>
        <v/>
      </c>
      <c r="M378" s="4" t="str">
        <f t="shared" si="53"/>
        <v/>
      </c>
      <c r="N378" s="4" t="str">
        <f t="shared" si="56"/>
        <v/>
      </c>
      <c r="O378" s="4" t="str">
        <f t="shared" si="57"/>
        <v/>
      </c>
    </row>
    <row r="379" spans="6:15" x14ac:dyDescent="0.2">
      <c r="F379" t="s">
        <v>24</v>
      </c>
      <c r="G379" s="2" t="str">
        <f t="shared" si="49"/>
        <v/>
      </c>
      <c r="H379" s="4" t="str">
        <f t="shared" si="50"/>
        <v/>
      </c>
      <c r="I379" s="4" t="str">
        <f t="shared" si="51"/>
        <v/>
      </c>
      <c r="J379" s="4" t="str">
        <f t="shared" si="52"/>
        <v/>
      </c>
      <c r="K379" s="4" t="str">
        <f t="shared" si="54"/>
        <v/>
      </c>
      <c r="L379" s="4" t="str">
        <f t="shared" si="55"/>
        <v/>
      </c>
      <c r="M379" s="4" t="str">
        <f t="shared" si="53"/>
        <v/>
      </c>
      <c r="N379" s="4" t="str">
        <f t="shared" si="56"/>
        <v/>
      </c>
      <c r="O379" s="4" t="str">
        <f t="shared" si="57"/>
        <v/>
      </c>
    </row>
    <row r="380" spans="6:15" x14ac:dyDescent="0.2">
      <c r="F380" t="s">
        <v>24</v>
      </c>
      <c r="G380" s="2" t="str">
        <f t="shared" si="49"/>
        <v/>
      </c>
      <c r="H380" s="4" t="str">
        <f t="shared" si="50"/>
        <v/>
      </c>
      <c r="I380" s="4" t="str">
        <f t="shared" si="51"/>
        <v/>
      </c>
      <c r="J380" s="4" t="str">
        <f t="shared" si="52"/>
        <v/>
      </c>
      <c r="K380" s="4" t="str">
        <f t="shared" si="54"/>
        <v/>
      </c>
      <c r="L380" s="4" t="str">
        <f t="shared" si="55"/>
        <v/>
      </c>
      <c r="M380" s="4" t="str">
        <f t="shared" si="53"/>
        <v/>
      </c>
      <c r="N380" s="4" t="str">
        <f t="shared" si="56"/>
        <v/>
      </c>
      <c r="O380" s="4" t="str">
        <f t="shared" si="57"/>
        <v/>
      </c>
    </row>
    <row r="381" spans="6:15" x14ac:dyDescent="0.2">
      <c r="F381" t="s">
        <v>24</v>
      </c>
      <c r="G381" s="2" t="str">
        <f t="shared" si="49"/>
        <v/>
      </c>
      <c r="H381" s="4" t="str">
        <f t="shared" si="50"/>
        <v/>
      </c>
      <c r="I381" s="4" t="str">
        <f t="shared" si="51"/>
        <v/>
      </c>
      <c r="J381" s="4" t="str">
        <f t="shared" si="52"/>
        <v/>
      </c>
      <c r="K381" s="4" t="str">
        <f t="shared" si="54"/>
        <v/>
      </c>
      <c r="L381" s="4" t="str">
        <f t="shared" si="55"/>
        <v/>
      </c>
      <c r="M381" s="4" t="str">
        <f t="shared" si="53"/>
        <v/>
      </c>
      <c r="N381" s="4" t="str">
        <f t="shared" si="56"/>
        <v/>
      </c>
      <c r="O381" s="4" t="str">
        <f t="shared" si="57"/>
        <v/>
      </c>
    </row>
    <row r="382" spans="6:15" x14ac:dyDescent="0.2">
      <c r="F382" t="s">
        <v>24</v>
      </c>
      <c r="G382" s="2" t="str">
        <f t="shared" si="49"/>
        <v/>
      </c>
      <c r="H382" s="4" t="str">
        <f t="shared" si="50"/>
        <v/>
      </c>
      <c r="I382" s="4" t="str">
        <f t="shared" si="51"/>
        <v/>
      </c>
      <c r="J382" s="4" t="str">
        <f t="shared" si="52"/>
        <v/>
      </c>
      <c r="K382" s="4" t="str">
        <f t="shared" si="54"/>
        <v/>
      </c>
      <c r="L382" s="4" t="str">
        <f t="shared" si="55"/>
        <v/>
      </c>
      <c r="M382" s="4" t="str">
        <f t="shared" si="53"/>
        <v/>
      </c>
      <c r="N382" s="4" t="str">
        <f t="shared" si="56"/>
        <v/>
      </c>
      <c r="O382" s="4" t="str">
        <f t="shared" si="57"/>
        <v/>
      </c>
    </row>
    <row r="383" spans="6:15" x14ac:dyDescent="0.2">
      <c r="F383" t="s">
        <v>24</v>
      </c>
      <c r="G383" s="2" t="str">
        <f t="shared" si="49"/>
        <v/>
      </c>
      <c r="H383" s="4" t="str">
        <f t="shared" si="50"/>
        <v/>
      </c>
      <c r="I383" s="4" t="str">
        <f t="shared" si="51"/>
        <v/>
      </c>
      <c r="J383" s="4" t="str">
        <f t="shared" si="52"/>
        <v/>
      </c>
      <c r="K383" s="4" t="str">
        <f t="shared" si="54"/>
        <v/>
      </c>
      <c r="L383" s="4" t="str">
        <f t="shared" si="55"/>
        <v/>
      </c>
      <c r="M383" s="4" t="str">
        <f t="shared" si="53"/>
        <v/>
      </c>
      <c r="N383" s="4" t="str">
        <f t="shared" si="56"/>
        <v/>
      </c>
      <c r="O383" s="4" t="str">
        <f t="shared" si="57"/>
        <v/>
      </c>
    </row>
    <row r="384" spans="6:15" x14ac:dyDescent="0.2">
      <c r="F384" t="s">
        <v>24</v>
      </c>
      <c r="G384" s="2" t="str">
        <f t="shared" si="49"/>
        <v/>
      </c>
      <c r="H384" s="4" t="str">
        <f t="shared" si="50"/>
        <v/>
      </c>
      <c r="I384" s="4" t="str">
        <f t="shared" si="51"/>
        <v/>
      </c>
      <c r="J384" s="4" t="str">
        <f t="shared" si="52"/>
        <v/>
      </c>
      <c r="K384" s="4" t="str">
        <f t="shared" si="54"/>
        <v/>
      </c>
      <c r="L384" s="4" t="str">
        <f t="shared" si="55"/>
        <v/>
      </c>
      <c r="M384" s="4" t="str">
        <f t="shared" si="53"/>
        <v/>
      </c>
      <c r="N384" s="4" t="str">
        <f t="shared" si="56"/>
        <v/>
      </c>
      <c r="O384" s="4" t="str">
        <f t="shared" si="57"/>
        <v/>
      </c>
    </row>
    <row r="385" spans="6:15" x14ac:dyDescent="0.2">
      <c r="F385" t="s">
        <v>24</v>
      </c>
      <c r="G385" s="2" t="str">
        <f t="shared" si="49"/>
        <v/>
      </c>
      <c r="H385" s="4" t="str">
        <f t="shared" si="50"/>
        <v/>
      </c>
      <c r="I385" s="4" t="str">
        <f t="shared" si="51"/>
        <v/>
      </c>
      <c r="J385" s="4" t="str">
        <f t="shared" si="52"/>
        <v/>
      </c>
      <c r="K385" s="4" t="str">
        <f t="shared" si="54"/>
        <v/>
      </c>
      <c r="L385" s="4" t="str">
        <f t="shared" si="55"/>
        <v/>
      </c>
      <c r="M385" s="4" t="str">
        <f t="shared" si="53"/>
        <v/>
      </c>
      <c r="N385" s="4" t="str">
        <f t="shared" si="56"/>
        <v/>
      </c>
      <c r="O385" s="4" t="str">
        <f t="shared" si="57"/>
        <v/>
      </c>
    </row>
    <row r="386" spans="6:15" x14ac:dyDescent="0.2">
      <c r="F386" t="s">
        <v>24</v>
      </c>
      <c r="G386" s="2" t="str">
        <f t="shared" ref="G386:G401" si="58">IF(F386 &lt;&gt; "", EOMONTH(D$7, ROW() - 1 - 1), "")</f>
        <v/>
      </c>
      <c r="H386" s="4" t="str">
        <f t="shared" ref="H386:H401" si="59">IF(F386&lt;&gt;"", IF(F386 = 1, D$3, N385),  "")</f>
        <v/>
      </c>
      <c r="I386" s="4" t="str">
        <f t="shared" ref="I386:I401" si="60">IF(F386&lt;&gt;"", D$12, "")</f>
        <v/>
      </c>
      <c r="J386" s="4" t="str">
        <f t="shared" ref="J386:J401" si="61">IF(F386 &lt;&gt; "", D$8, "")</f>
        <v/>
      </c>
      <c r="K386" s="4" t="str">
        <f t="shared" si="54"/>
        <v/>
      </c>
      <c r="L386" s="4" t="str">
        <f t="shared" si="55"/>
        <v/>
      </c>
      <c r="M386" s="4" t="str">
        <f t="shared" ref="M386:M401" si="62">IF(F386 &lt;&gt; "", H386 * D$4/D$6, "")</f>
        <v/>
      </c>
      <c r="N386" s="4" t="str">
        <f t="shared" si="56"/>
        <v/>
      </c>
      <c r="O386" s="4" t="str">
        <f t="shared" si="57"/>
        <v/>
      </c>
    </row>
    <row r="387" spans="6:15" x14ac:dyDescent="0.2">
      <c r="F387" t="s">
        <v>24</v>
      </c>
      <c r="G387" s="2" t="str">
        <f t="shared" si="58"/>
        <v/>
      </c>
      <c r="H387" s="4" t="str">
        <f t="shared" si="59"/>
        <v/>
      </c>
      <c r="I387" s="4" t="str">
        <f t="shared" si="60"/>
        <v/>
      </c>
      <c r="J387" s="4" t="str">
        <f t="shared" si="61"/>
        <v/>
      </c>
      <c r="K387" s="4" t="str">
        <f t="shared" si="54"/>
        <v/>
      </c>
      <c r="L387" s="4" t="str">
        <f t="shared" si="55"/>
        <v/>
      </c>
      <c r="M387" s="4" t="str">
        <f t="shared" si="62"/>
        <v/>
      </c>
      <c r="N387" s="4" t="str">
        <f t="shared" si="56"/>
        <v/>
      </c>
      <c r="O387" s="4" t="str">
        <f t="shared" si="57"/>
        <v/>
      </c>
    </row>
    <row r="388" spans="6:15" x14ac:dyDescent="0.2">
      <c r="F388" t="s">
        <v>24</v>
      </c>
      <c r="G388" s="2" t="str">
        <f t="shared" si="58"/>
        <v/>
      </c>
      <c r="H388" s="4" t="str">
        <f t="shared" si="59"/>
        <v/>
      </c>
      <c r="I388" s="4" t="str">
        <f t="shared" si="60"/>
        <v/>
      </c>
      <c r="J388" s="4" t="str">
        <f t="shared" si="61"/>
        <v/>
      </c>
      <c r="K388" s="4" t="str">
        <f t="shared" si="54"/>
        <v/>
      </c>
      <c r="L388" s="4" t="str">
        <f t="shared" si="55"/>
        <v/>
      </c>
      <c r="M388" s="4" t="str">
        <f t="shared" si="62"/>
        <v/>
      </c>
      <c r="N388" s="4" t="str">
        <f t="shared" si="56"/>
        <v/>
      </c>
      <c r="O388" s="4" t="str">
        <f t="shared" si="57"/>
        <v/>
      </c>
    </row>
    <row r="389" spans="6:15" x14ac:dyDescent="0.2">
      <c r="F389" t="s">
        <v>24</v>
      </c>
      <c r="G389" s="2" t="str">
        <f t="shared" si="58"/>
        <v/>
      </c>
      <c r="H389" s="4" t="str">
        <f t="shared" si="59"/>
        <v/>
      </c>
      <c r="I389" s="4" t="str">
        <f t="shared" si="60"/>
        <v/>
      </c>
      <c r="J389" s="4" t="str">
        <f t="shared" si="61"/>
        <v/>
      </c>
      <c r="K389" s="4" t="str">
        <f t="shared" ref="K389:K401" si="63">IF(F389 &lt;&gt; "", I389+J389, "")</f>
        <v/>
      </c>
      <c r="L389" s="4" t="str">
        <f t="shared" ref="L389:L401" si="64">IF(F389&lt;&gt;"",K389-M389,"")</f>
        <v/>
      </c>
      <c r="M389" s="4" t="str">
        <f t="shared" si="62"/>
        <v/>
      </c>
      <c r="N389" s="4" t="str">
        <f t="shared" ref="N389:N401" si="65">IF(F389 &lt;&gt; "", IF(H389-L389 &lt; 0, 0, H389-L389), "")</f>
        <v/>
      </c>
      <c r="O389" s="4" t="str">
        <f t="shared" ref="O389:O401" si="66">IF(F389&lt;&gt;"", IF(F389 = 1, 0, O388) + M389, "")</f>
        <v/>
      </c>
    </row>
    <row r="390" spans="6:15" x14ac:dyDescent="0.2">
      <c r="F390" t="s">
        <v>24</v>
      </c>
      <c r="G390" s="2" t="str">
        <f t="shared" si="58"/>
        <v/>
      </c>
      <c r="H390" s="4" t="str">
        <f t="shared" si="59"/>
        <v/>
      </c>
      <c r="I390" s="4" t="str">
        <f t="shared" si="60"/>
        <v/>
      </c>
      <c r="J390" s="4" t="str">
        <f t="shared" si="61"/>
        <v/>
      </c>
      <c r="K390" s="4" t="str">
        <f t="shared" si="63"/>
        <v/>
      </c>
      <c r="L390" s="4" t="str">
        <f t="shared" si="64"/>
        <v/>
      </c>
      <c r="M390" s="4" t="str">
        <f t="shared" si="62"/>
        <v/>
      </c>
      <c r="N390" s="4" t="str">
        <f t="shared" si="65"/>
        <v/>
      </c>
      <c r="O390" s="4" t="str">
        <f t="shared" si="66"/>
        <v/>
      </c>
    </row>
    <row r="391" spans="6:15" x14ac:dyDescent="0.2">
      <c r="F391" t="s">
        <v>24</v>
      </c>
      <c r="G391" s="2" t="str">
        <f t="shared" si="58"/>
        <v/>
      </c>
      <c r="H391" s="4" t="str">
        <f t="shared" si="59"/>
        <v/>
      </c>
      <c r="I391" s="4" t="str">
        <f t="shared" si="60"/>
        <v/>
      </c>
      <c r="J391" s="4" t="str">
        <f t="shared" si="61"/>
        <v/>
      </c>
      <c r="K391" s="4" t="str">
        <f t="shared" si="63"/>
        <v/>
      </c>
      <c r="L391" s="4" t="str">
        <f t="shared" si="64"/>
        <v/>
      </c>
      <c r="M391" s="4" t="str">
        <f t="shared" si="62"/>
        <v/>
      </c>
      <c r="N391" s="4" t="str">
        <f t="shared" si="65"/>
        <v/>
      </c>
      <c r="O391" s="4" t="str">
        <f t="shared" si="66"/>
        <v/>
      </c>
    </row>
    <row r="392" spans="6:15" x14ac:dyDescent="0.2">
      <c r="F392" t="s">
        <v>24</v>
      </c>
      <c r="G392" s="2" t="str">
        <f t="shared" si="58"/>
        <v/>
      </c>
      <c r="H392" s="4" t="str">
        <f t="shared" si="59"/>
        <v/>
      </c>
      <c r="I392" s="4" t="str">
        <f t="shared" si="60"/>
        <v/>
      </c>
      <c r="J392" s="4" t="str">
        <f t="shared" si="61"/>
        <v/>
      </c>
      <c r="K392" s="4" t="str">
        <f t="shared" si="63"/>
        <v/>
      </c>
      <c r="L392" s="4" t="str">
        <f t="shared" si="64"/>
        <v/>
      </c>
      <c r="M392" s="4" t="str">
        <f t="shared" si="62"/>
        <v/>
      </c>
      <c r="N392" s="4" t="str">
        <f t="shared" si="65"/>
        <v/>
      </c>
      <c r="O392" s="4" t="str">
        <f t="shared" si="66"/>
        <v/>
      </c>
    </row>
    <row r="393" spans="6:15" x14ac:dyDescent="0.2">
      <c r="F393" t="s">
        <v>24</v>
      </c>
      <c r="G393" s="2" t="str">
        <f t="shared" si="58"/>
        <v/>
      </c>
      <c r="H393" s="4" t="str">
        <f t="shared" si="59"/>
        <v/>
      </c>
      <c r="I393" s="4" t="str">
        <f t="shared" si="60"/>
        <v/>
      </c>
      <c r="J393" s="4" t="str">
        <f t="shared" si="61"/>
        <v/>
      </c>
      <c r="K393" s="4" t="str">
        <f t="shared" si="63"/>
        <v/>
      </c>
      <c r="L393" s="4" t="str">
        <f t="shared" si="64"/>
        <v/>
      </c>
      <c r="M393" s="4" t="str">
        <f t="shared" si="62"/>
        <v/>
      </c>
      <c r="N393" s="4" t="str">
        <f t="shared" si="65"/>
        <v/>
      </c>
      <c r="O393" s="4" t="str">
        <f t="shared" si="66"/>
        <v/>
      </c>
    </row>
    <row r="394" spans="6:15" x14ac:dyDescent="0.2">
      <c r="F394" t="s">
        <v>24</v>
      </c>
      <c r="G394" s="2" t="str">
        <f t="shared" si="58"/>
        <v/>
      </c>
      <c r="H394" s="4" t="str">
        <f t="shared" si="59"/>
        <v/>
      </c>
      <c r="I394" s="4" t="str">
        <f t="shared" si="60"/>
        <v/>
      </c>
      <c r="J394" s="4" t="str">
        <f t="shared" si="61"/>
        <v/>
      </c>
      <c r="K394" s="4" t="str">
        <f t="shared" si="63"/>
        <v/>
      </c>
      <c r="L394" s="4" t="str">
        <f t="shared" si="64"/>
        <v/>
      </c>
      <c r="M394" s="4" t="str">
        <f t="shared" si="62"/>
        <v/>
      </c>
      <c r="N394" s="4" t="str">
        <f t="shared" si="65"/>
        <v/>
      </c>
      <c r="O394" s="4" t="str">
        <f t="shared" si="66"/>
        <v/>
      </c>
    </row>
    <row r="395" spans="6:15" x14ac:dyDescent="0.2">
      <c r="F395" t="s">
        <v>24</v>
      </c>
      <c r="G395" s="2" t="str">
        <f t="shared" si="58"/>
        <v/>
      </c>
      <c r="H395" s="4" t="str">
        <f t="shared" si="59"/>
        <v/>
      </c>
      <c r="I395" s="4" t="str">
        <f t="shared" si="60"/>
        <v/>
      </c>
      <c r="J395" s="4" t="str">
        <f t="shared" si="61"/>
        <v/>
      </c>
      <c r="K395" s="4" t="str">
        <f t="shared" si="63"/>
        <v/>
      </c>
      <c r="L395" s="4" t="str">
        <f t="shared" si="64"/>
        <v/>
      </c>
      <c r="M395" s="4" t="str">
        <f t="shared" si="62"/>
        <v/>
      </c>
      <c r="N395" s="4" t="str">
        <f t="shared" si="65"/>
        <v/>
      </c>
      <c r="O395" s="4" t="str">
        <f t="shared" si="66"/>
        <v/>
      </c>
    </row>
    <row r="396" spans="6:15" x14ac:dyDescent="0.2">
      <c r="F396" t="s">
        <v>24</v>
      </c>
      <c r="G396" s="2" t="str">
        <f t="shared" si="58"/>
        <v/>
      </c>
      <c r="H396" s="4" t="str">
        <f t="shared" si="59"/>
        <v/>
      </c>
      <c r="I396" s="4" t="str">
        <f t="shared" si="60"/>
        <v/>
      </c>
      <c r="J396" s="4" t="str">
        <f t="shared" si="61"/>
        <v/>
      </c>
      <c r="K396" s="4" t="str">
        <f t="shared" si="63"/>
        <v/>
      </c>
      <c r="L396" s="4" t="str">
        <f t="shared" si="64"/>
        <v/>
      </c>
      <c r="M396" s="4" t="str">
        <f t="shared" si="62"/>
        <v/>
      </c>
      <c r="N396" s="4" t="str">
        <f t="shared" si="65"/>
        <v/>
      </c>
      <c r="O396" s="4" t="str">
        <f t="shared" si="66"/>
        <v/>
      </c>
    </row>
    <row r="397" spans="6:15" x14ac:dyDescent="0.2">
      <c r="F397" t="s">
        <v>24</v>
      </c>
      <c r="G397" s="2" t="str">
        <f t="shared" si="58"/>
        <v/>
      </c>
      <c r="H397" s="4" t="str">
        <f t="shared" si="59"/>
        <v/>
      </c>
      <c r="I397" s="4" t="str">
        <f t="shared" si="60"/>
        <v/>
      </c>
      <c r="J397" s="4" t="str">
        <f t="shared" si="61"/>
        <v/>
      </c>
      <c r="K397" s="4" t="str">
        <f t="shared" si="63"/>
        <v/>
      </c>
      <c r="L397" s="4" t="str">
        <f t="shared" si="64"/>
        <v/>
      </c>
      <c r="M397" s="4" t="str">
        <f t="shared" si="62"/>
        <v/>
      </c>
      <c r="N397" s="4" t="str">
        <f t="shared" si="65"/>
        <v/>
      </c>
      <c r="O397" s="4" t="str">
        <f t="shared" si="66"/>
        <v/>
      </c>
    </row>
    <row r="398" spans="6:15" x14ac:dyDescent="0.2">
      <c r="F398" t="s">
        <v>24</v>
      </c>
      <c r="G398" s="2" t="str">
        <f t="shared" si="58"/>
        <v/>
      </c>
      <c r="H398" s="4" t="str">
        <f t="shared" si="59"/>
        <v/>
      </c>
      <c r="I398" s="4" t="str">
        <f t="shared" si="60"/>
        <v/>
      </c>
      <c r="J398" s="4" t="str">
        <f t="shared" si="61"/>
        <v/>
      </c>
      <c r="K398" s="4" t="str">
        <f t="shared" si="63"/>
        <v/>
      </c>
      <c r="L398" s="4" t="str">
        <f t="shared" si="64"/>
        <v/>
      </c>
      <c r="M398" s="4" t="str">
        <f t="shared" si="62"/>
        <v/>
      </c>
      <c r="N398" s="4" t="str">
        <f t="shared" si="65"/>
        <v/>
      </c>
      <c r="O398" s="4" t="str">
        <f t="shared" si="66"/>
        <v/>
      </c>
    </row>
    <row r="399" spans="6:15" x14ac:dyDescent="0.2">
      <c r="F399" t="s">
        <v>24</v>
      </c>
      <c r="G399" s="2" t="str">
        <f t="shared" si="58"/>
        <v/>
      </c>
      <c r="H399" s="4" t="str">
        <f t="shared" si="59"/>
        <v/>
      </c>
      <c r="I399" s="4" t="str">
        <f t="shared" si="60"/>
        <v/>
      </c>
      <c r="J399" s="4" t="str">
        <f t="shared" si="61"/>
        <v/>
      </c>
      <c r="K399" s="4" t="str">
        <f t="shared" si="63"/>
        <v/>
      </c>
      <c r="L399" s="4" t="str">
        <f t="shared" si="64"/>
        <v/>
      </c>
      <c r="M399" s="4" t="str">
        <f t="shared" si="62"/>
        <v/>
      </c>
      <c r="N399" s="4" t="str">
        <f t="shared" si="65"/>
        <v/>
      </c>
      <c r="O399" s="4" t="str">
        <f t="shared" si="66"/>
        <v/>
      </c>
    </row>
    <row r="400" spans="6:15" x14ac:dyDescent="0.2">
      <c r="F400" t="s">
        <v>24</v>
      </c>
      <c r="G400" s="2" t="str">
        <f t="shared" si="58"/>
        <v/>
      </c>
      <c r="H400" s="4" t="str">
        <f t="shared" si="59"/>
        <v/>
      </c>
      <c r="I400" s="4" t="str">
        <f t="shared" si="60"/>
        <v/>
      </c>
      <c r="J400" s="4" t="str">
        <f t="shared" si="61"/>
        <v/>
      </c>
      <c r="K400" s="4" t="str">
        <f t="shared" si="63"/>
        <v/>
      </c>
      <c r="L400" s="4" t="str">
        <f t="shared" si="64"/>
        <v/>
      </c>
      <c r="M400" s="4" t="str">
        <f t="shared" si="62"/>
        <v/>
      </c>
      <c r="N400" s="4" t="str">
        <f t="shared" si="65"/>
        <v/>
      </c>
      <c r="O400" s="4" t="str">
        <f t="shared" si="66"/>
        <v/>
      </c>
    </row>
    <row r="401" spans="6:15" x14ac:dyDescent="0.2">
      <c r="F401" t="s">
        <v>24</v>
      </c>
      <c r="G401" s="2" t="str">
        <f t="shared" si="58"/>
        <v/>
      </c>
      <c r="H401" s="4" t="str">
        <f t="shared" si="59"/>
        <v/>
      </c>
      <c r="I401" s="4" t="str">
        <f t="shared" si="60"/>
        <v/>
      </c>
      <c r="J401" s="4" t="str">
        <f t="shared" si="61"/>
        <v/>
      </c>
      <c r="K401" s="4" t="str">
        <f t="shared" si="63"/>
        <v/>
      </c>
      <c r="L401" s="4" t="str">
        <f t="shared" si="64"/>
        <v/>
      </c>
      <c r="M401" s="4" t="str">
        <f t="shared" si="62"/>
        <v/>
      </c>
      <c r="N401" s="4" t="str">
        <f t="shared" si="65"/>
        <v/>
      </c>
      <c r="O401" s="4" t="str">
        <f t="shared" si="66"/>
        <v/>
      </c>
    </row>
  </sheetData>
  <dataValidations count="13">
    <dataValidation allowBlank="1" showInputMessage="1" showErrorMessage="1" prompt="Enter Loan Amount in this cell" sqref="D3" xr:uid="{E577A9F7-EFE9-D44E-A0B6-26E59D1B5481}"/>
    <dataValidation allowBlank="1" showInputMessage="1" showErrorMessage="1" prompt="Enter interest rate to be paid annually in this cell" sqref="D4" xr:uid="{EE9840D4-51F9-5342-BA63-ED3D43C038C3}"/>
    <dataValidation allowBlank="1" showInputMessage="1" showErrorMessage="1" prompt="Enter loan period in years in this cell" sqref="D5" xr:uid="{0826531A-3BFD-6949-BBEF-C9145C29BA77}"/>
    <dataValidation allowBlank="1" showInputMessage="1" showErrorMessage="1" prompt="Enter the number of payments to be made in a year in this cell" sqref="D6" xr:uid="{D9CBD359-76D9-E044-9775-AFE3C49C7CDF}"/>
    <dataValidation allowBlank="1" showInputMessage="1" showErrorMessage="1" prompt="Enter the start date of loan in this cell" sqref="D7" xr:uid="{80A0CDDC-CC3E-D54B-928C-D2120A7DBF44}"/>
    <dataValidation allowBlank="1" showInputMessage="1" showErrorMessage="1" prompt="Enter the amount of extra payment in this cell" sqref="D8" xr:uid="{D958619C-A062-6C48-BEEB-62342F5EAC2C}"/>
    <dataValidation allowBlank="1" showInputMessage="1" showErrorMessage="1" prompt="Enter loan values in cells E3 to E7 and E9. Description of each loan value is in column C. Payment Schedule table starting in cell B11 will automatically update" sqref="B2" xr:uid="{50529FA8-3479-FF46-8EAE-F783C21F4F08}"/>
    <dataValidation allowBlank="1" showInputMessage="1" showErrorMessage="1" prompt="Automatically calculated total interest" sqref="D17" xr:uid="{096A0FDE-B549-914E-A884-59F6340A3F97}"/>
    <dataValidation allowBlank="1" showInputMessage="1" showErrorMessage="1" prompt="Automatically updated scheduled payment amount" sqref="D12" xr:uid="{4243AB4B-8339-3A40-B7E7-DA53EF9E9E56}"/>
    <dataValidation allowBlank="1" showInputMessage="1" showErrorMessage="1" prompt="Automatically updated scheduled number of payments" sqref="D13" xr:uid="{633B58BB-0940-A14E-9C51-5132091D4672}"/>
    <dataValidation allowBlank="1" showInputMessage="1" showErrorMessage="1" prompt="Automatically updated actual number of payments" sqref="D14" xr:uid="{0A5FD065-4B44-AA45-8A16-6F3D6FBBFB25}"/>
    <dataValidation allowBlank="1" showInputMessage="1" showErrorMessage="1" prompt="Loan Summary fields from I3 to I7 are automatically adjusted based on the values entered. Enter the Lender's name in I9" sqref="B11" xr:uid="{4B5933B7-69B4-934F-A183-BAC2EEECE382}"/>
    <dataValidation allowBlank="1" showInputMessage="1" showErrorMessage="1" prompt="Automatically updated total early payments" sqref="D15:D16" xr:uid="{872C95CD-69E1-7647-AC9F-D2DC21675C19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Diamond-Reivich</dc:creator>
  <cp:lastModifiedBy>Aaron Diamond-Reivich</cp:lastModifiedBy>
  <dcterms:created xsi:type="dcterms:W3CDTF">2024-04-29T19:48:28Z</dcterms:created>
  <dcterms:modified xsi:type="dcterms:W3CDTF">2024-05-16T21:11:32Z</dcterms:modified>
</cp:coreProperties>
</file>